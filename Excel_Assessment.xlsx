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805976292d47c/Documents/NSS/excel/assessment/"/>
    </mc:Choice>
  </mc:AlternateContent>
  <xr:revisionPtr revIDLastSave="551" documentId="11_819064FDF3E24423F7F577C4EBD1EEDE65531E3E" xr6:coauthVersionLast="47" xr6:coauthVersionMax="47" xr10:uidLastSave="{FA004749-6DB9-4781-AB95-5971F6213D59}"/>
  <bookViews>
    <workbookView xWindow="-110" yWindow="-110" windowWidth="19420" windowHeight="11500" tabRatio="500" activeTab="3" xr2:uid="{00000000-000D-0000-FFFF-FFFF00000000}"/>
  </bookViews>
  <sheets>
    <sheet name="ACT_school_suppressed" sheetId="1" r:id="rId1"/>
    <sheet name="schools" sheetId="2" r:id="rId2"/>
    <sheet name="districts" sheetId="3" r:id="rId3"/>
    <sheet name="answers" sheetId="4" r:id="rId4"/>
    <sheet name="Davidson County" sheetId="5" r:id="rId5"/>
    <sheet name="5_Pivot Table_No._of_Schools" sheetId="6" r:id="rId6"/>
    <sheet name="6c_Avg.of Scores" sheetId="8" r:id="rId7"/>
  </sheets>
  <definedNames>
    <definedName name="_xlnm._FilterDatabase" localSheetId="0" hidden="1">ACT_school_suppressed!$A$1:$T$368</definedName>
    <definedName name="_xlnm._FilterDatabase" localSheetId="3" hidden="1">answers!$A$2:$D$3</definedName>
  </definedNames>
  <calcPr calcId="191029" iterateDelta="1E-4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4" l="1" a="1"/>
  <c r="D4" i="4" s="1"/>
  <c r="C2" i="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B2" i="4"/>
  <c r="B5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2" i="1"/>
  <c r="C3" i="4" l="1"/>
  <c r="C11" i="4"/>
  <c r="C10" i="4"/>
  <c r="C13" i="4"/>
  <c r="C12" i="4"/>
  <c r="B11" i="4"/>
  <c r="B10" i="4"/>
  <c r="B13" i="4"/>
  <c r="B12" i="4"/>
  <c r="B3" i="4"/>
  <c r="B6" i="4"/>
  <c r="D11" i="4" l="1"/>
  <c r="D12" i="4"/>
  <c r="D10" i="4"/>
  <c r="D1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<sst xmlns="http://schemas.openxmlformats.org/spreadsheetml/2006/main" count="13867" uniqueCount="5694">
  <si>
    <t>School_ID</t>
  </si>
  <si>
    <t>SCHOOL_NAME</t>
  </si>
  <si>
    <t>City</t>
  </si>
  <si>
    <t>DISTRICT_NAME</t>
  </si>
  <si>
    <t>Subgroup</t>
  </si>
  <si>
    <t>Valid Tests</t>
  </si>
  <si>
    <t>Participation Rate</t>
  </si>
  <si>
    <t>Average English Score</t>
  </si>
  <si>
    <t>Average Math Score</t>
  </si>
  <si>
    <t>Average Reading Score</t>
  </si>
  <si>
    <t>Average Science Score</t>
  </si>
  <si>
    <t>Average Composite Score</t>
  </si>
  <si>
    <t>Number Scoring 21 or Higher</t>
  </si>
  <si>
    <t>Number Scoring Below 19</t>
  </si>
  <si>
    <t>Average Composite At Least 20</t>
  </si>
  <si>
    <t>All Areas At Least 20</t>
  </si>
  <si>
    <t>10_2</t>
  </si>
  <si>
    <t>Anderson County</t>
  </si>
  <si>
    <t>All Students</t>
  </si>
  <si>
    <t>10_25</t>
  </si>
  <si>
    <t>12_35</t>
  </si>
  <si>
    <t>Oak Ridge</t>
  </si>
  <si>
    <t>20_13</t>
  </si>
  <si>
    <t>Bedford County</t>
  </si>
  <si>
    <t>20_20</t>
  </si>
  <si>
    <t>20_35</t>
  </si>
  <si>
    <t>30_10</t>
  </si>
  <si>
    <t>Benton County</t>
  </si>
  <si>
    <t>30_25</t>
  </si>
  <si>
    <t>40_5</t>
  </si>
  <si>
    <t>Bledsoe County</t>
  </si>
  <si>
    <t>50_63</t>
  </si>
  <si>
    <t>Blount County</t>
  </si>
  <si>
    <t>50_155</t>
  </si>
  <si>
    <t>51_10</t>
  </si>
  <si>
    <t>Alcoa</t>
  </si>
  <si>
    <t>52_15</t>
  </si>
  <si>
    <t>Maryville</t>
  </si>
  <si>
    <t>60_20</t>
  </si>
  <si>
    <t>Bradley County</t>
  </si>
  <si>
    <t>60_53</t>
  </si>
  <si>
    <t>**</t>
  </si>
  <si>
    <t>60_78</t>
  </si>
  <si>
    <t>60_105</t>
  </si>
  <si>
    <t>*</t>
  </si>
  <si>
    <t>61_20</t>
  </si>
  <si>
    <t>Cleveland</t>
  </si>
  <si>
    <t>61_40</t>
  </si>
  <si>
    <t>70_3</t>
  </si>
  <si>
    <t>Campbell County</t>
  </si>
  <si>
    <t>70_75</t>
  </si>
  <si>
    <t>80_16</t>
  </si>
  <si>
    <t>Cannon County</t>
  </si>
  <si>
    <t>92_10</t>
  </si>
  <si>
    <t>Hollow Rock - Bruceton</t>
  </si>
  <si>
    <t>93_10</t>
  </si>
  <si>
    <t>Huntingdon Special School District</t>
  </si>
  <si>
    <t>94_10</t>
  </si>
  <si>
    <t>McKenzie</t>
  </si>
  <si>
    <t>95_5</t>
  </si>
  <si>
    <t>South Carroll</t>
  </si>
  <si>
    <t>97_5</t>
  </si>
  <si>
    <t>West Carroll Sp Dist</t>
  </si>
  <si>
    <t>100_15</t>
  </si>
  <si>
    <t>Carter County</t>
  </si>
  <si>
    <t>100_30</t>
  </si>
  <si>
    <t>100_40</t>
  </si>
  <si>
    <t>100_90</t>
  </si>
  <si>
    <t>101_15</t>
  </si>
  <si>
    <t>Elizabethton</t>
  </si>
  <si>
    <t>110_10</t>
  </si>
  <si>
    <t>Cheatham County</t>
  </si>
  <si>
    <t>110_19</t>
  </si>
  <si>
    <t>110_33</t>
  </si>
  <si>
    <t>120_8</t>
  </si>
  <si>
    <t>Chester County</t>
  </si>
  <si>
    <t>130_93</t>
  </si>
  <si>
    <t>Claiborne County</t>
  </si>
  <si>
    <t>130_110</t>
  </si>
  <si>
    <t>140_12</t>
  </si>
  <si>
    <t>Clay County</t>
  </si>
  <si>
    <t>150_15</t>
  </si>
  <si>
    <t>Cocke County</t>
  </si>
  <si>
    <t>150_27</t>
  </si>
  <si>
    <t>160_5</t>
  </si>
  <si>
    <t>Coffee County</t>
  </si>
  <si>
    <t>162_35</t>
  </si>
  <si>
    <t>Tullahoma</t>
  </si>
  <si>
    <t>170_3</t>
  </si>
  <si>
    <t>Crockett County</t>
  </si>
  <si>
    <t>180_25</t>
  </si>
  <si>
    <t>Cumberland County</t>
  </si>
  <si>
    <t>180_79</t>
  </si>
  <si>
    <t>180_85</t>
  </si>
  <si>
    <t>190_3</t>
  </si>
  <si>
    <t>Davidson County</t>
  </si>
  <si>
    <t>190_20</t>
  </si>
  <si>
    <t>190_53</t>
  </si>
  <si>
    <t>190_77</t>
  </si>
  <si>
    <t>190_203</t>
  </si>
  <si>
    <t>190_245</t>
  </si>
  <si>
    <t>190_302</t>
  </si>
  <si>
    <t>190_335</t>
  </si>
  <si>
    <t>190_340</t>
  </si>
  <si>
    <t>190_355</t>
  </si>
  <si>
    <t>190_358</t>
  </si>
  <si>
    <t>190_395</t>
  </si>
  <si>
    <t>190_437</t>
  </si>
  <si>
    <t>190_443</t>
  </si>
  <si>
    <t>190_445</t>
  </si>
  <si>
    <t>190_456</t>
  </si>
  <si>
    <t>190_470</t>
  </si>
  <si>
    <t>190_512</t>
  </si>
  <si>
    <t>190_555</t>
  </si>
  <si>
    <t>190_612</t>
  </si>
  <si>
    <t>190_614</t>
  </si>
  <si>
    <t>190_620</t>
  </si>
  <si>
    <t>190_704</t>
  </si>
  <si>
    <t>190_720</t>
  </si>
  <si>
    <t>190_740</t>
  </si>
  <si>
    <t>190_8003</t>
  </si>
  <si>
    <t>190_8011</t>
  </si>
  <si>
    <t>200_3</t>
  </si>
  <si>
    <t>Decatur County</t>
  </si>
  <si>
    <t>210_25</t>
  </si>
  <si>
    <t>DeKalb County</t>
  </si>
  <si>
    <t>220_17</t>
  </si>
  <si>
    <t>Dickson County</t>
  </si>
  <si>
    <t>220_25</t>
  </si>
  <si>
    <t>230_18</t>
  </si>
  <si>
    <t>Dyer County</t>
  </si>
  <si>
    <t>231_15</t>
  </si>
  <si>
    <t>Dyersburg</t>
  </si>
  <si>
    <t>240_26</t>
  </si>
  <si>
    <t>Fayette County Public Schools</t>
  </si>
  <si>
    <t>250_25</t>
  </si>
  <si>
    <t>Fentress County</t>
  </si>
  <si>
    <t>260_50</t>
  </si>
  <si>
    <t>Franklin County</t>
  </si>
  <si>
    <t>260_65</t>
  </si>
  <si>
    <t>271_20</t>
  </si>
  <si>
    <t>Humboldt City Schools</t>
  </si>
  <si>
    <t>272_10</t>
  </si>
  <si>
    <t>Milan</t>
  </si>
  <si>
    <t>273_5</t>
  </si>
  <si>
    <t>Trenton</t>
  </si>
  <si>
    <t>274_5</t>
  </si>
  <si>
    <t>Bradford</t>
  </si>
  <si>
    <t>275_33</t>
  </si>
  <si>
    <t>Gibson Co Sp Dist</t>
  </si>
  <si>
    <t>275_37</t>
  </si>
  <si>
    <t>280_45</t>
  </si>
  <si>
    <t>Giles County</t>
  </si>
  <si>
    <t>280_84</t>
  </si>
  <si>
    <t>290_8</t>
  </si>
  <si>
    <t>Grainger County</t>
  </si>
  <si>
    <t>290_30</t>
  </si>
  <si>
    <t>290_32</t>
  </si>
  <si>
    <t>300_28</t>
  </si>
  <si>
    <t>Greene County</t>
  </si>
  <si>
    <t>300_70</t>
  </si>
  <si>
    <t>300_80</t>
  </si>
  <si>
    <t>300_95</t>
  </si>
  <si>
    <t>301_20</t>
  </si>
  <si>
    <t>Greeneville</t>
  </si>
  <si>
    <t>310_25</t>
  </si>
  <si>
    <t>Grundy County</t>
  </si>
  <si>
    <t>320_42</t>
  </si>
  <si>
    <t>Hamblen County</t>
  </si>
  <si>
    <t>320_45</t>
  </si>
  <si>
    <t>330_21</t>
  </si>
  <si>
    <t>Hamilton County</t>
  </si>
  <si>
    <t>330_40</t>
  </si>
  <si>
    <t>330_45</t>
  </si>
  <si>
    <t>330_46</t>
  </si>
  <si>
    <t>330_59</t>
  </si>
  <si>
    <t>330_70</t>
  </si>
  <si>
    <t>330_86</t>
  </si>
  <si>
    <t>330_95</t>
  </si>
  <si>
    <t>330_128</t>
  </si>
  <si>
    <t>330_137</t>
  </si>
  <si>
    <t>330_160</t>
  </si>
  <si>
    <t>330_165</t>
  </si>
  <si>
    <t>330_175</t>
  </si>
  <si>
    <t>330_190</t>
  </si>
  <si>
    <t>330_196</t>
  </si>
  <si>
    <t>330_210</t>
  </si>
  <si>
    <t>330_220</t>
  </si>
  <si>
    <t>330_237</t>
  </si>
  <si>
    <t>330_275</t>
  </si>
  <si>
    <t>330_280</t>
  </si>
  <si>
    <t>330_8001</t>
  </si>
  <si>
    <t>330_8002</t>
  </si>
  <si>
    <t>340_25</t>
  </si>
  <si>
    <t>Hancock County</t>
  </si>
  <si>
    <t>350_15</t>
  </si>
  <si>
    <t>Hardeman County Schools</t>
  </si>
  <si>
    <t>350_40</t>
  </si>
  <si>
    <t>360_15</t>
  </si>
  <si>
    <t>Hardin County</t>
  </si>
  <si>
    <t>370_17</t>
  </si>
  <si>
    <t>Hawkins County</t>
  </si>
  <si>
    <t>370_30</t>
  </si>
  <si>
    <t>370_105</t>
  </si>
  <si>
    <t>380_40</t>
  </si>
  <si>
    <t>Haywood County</t>
  </si>
  <si>
    <t>390_15</t>
  </si>
  <si>
    <t>Henderson County</t>
  </si>
  <si>
    <t>390_39</t>
  </si>
  <si>
    <t>400_25</t>
  </si>
  <si>
    <t>Henry County</t>
  </si>
  <si>
    <t>410_18</t>
  </si>
  <si>
    <t>Hickman County</t>
  </si>
  <si>
    <t>410_30</t>
  </si>
  <si>
    <t>420_13</t>
  </si>
  <si>
    <t>Houston County</t>
  </si>
  <si>
    <t>430_15</t>
  </si>
  <si>
    <t>Humphreys County</t>
  </si>
  <si>
    <t>430_20</t>
  </si>
  <si>
    <t>440_5</t>
  </si>
  <si>
    <t>Jackson County</t>
  </si>
  <si>
    <t>450_20</t>
  </si>
  <si>
    <t>Jefferson County</t>
  </si>
  <si>
    <t>460_15</t>
  </si>
  <si>
    <t>Johnson County</t>
  </si>
  <si>
    <t>470_9</t>
  </si>
  <si>
    <t>Knox County</t>
  </si>
  <si>
    <t>470_17</t>
  </si>
  <si>
    <t>470_35</t>
  </si>
  <si>
    <t>470_47</t>
  </si>
  <si>
    <t>470_65</t>
  </si>
  <si>
    <t>470_80</t>
  </si>
  <si>
    <t>470_90</t>
  </si>
  <si>
    <t>470_100</t>
  </si>
  <si>
    <t>470_115</t>
  </si>
  <si>
    <t>470_126</t>
  </si>
  <si>
    <t>470_150</t>
  </si>
  <si>
    <t>470_158</t>
  </si>
  <si>
    <t>470_185</t>
  </si>
  <si>
    <t>470_305</t>
  </si>
  <si>
    <t>470_332</t>
  </si>
  <si>
    <t>470_334</t>
  </si>
  <si>
    <t>470_345</t>
  </si>
  <si>
    <t>480_5</t>
  </si>
  <si>
    <t>Lake County</t>
  </si>
  <si>
    <t>490_23</t>
  </si>
  <si>
    <t>Lauderdale County</t>
  </si>
  <si>
    <t>490_40</t>
  </si>
  <si>
    <t>500_40</t>
  </si>
  <si>
    <t>Lawrence County</t>
  </si>
  <si>
    <t>500_65</t>
  </si>
  <si>
    <t>500_95</t>
  </si>
  <si>
    <t>510_10</t>
  </si>
  <si>
    <t>Lewis County</t>
  </si>
  <si>
    <t>520_56</t>
  </si>
  <si>
    <t>Lincoln County</t>
  </si>
  <si>
    <t>521_10</t>
  </si>
  <si>
    <t>Fayetteville</t>
  </si>
  <si>
    <t>530_25</t>
  </si>
  <si>
    <t>Loudon County</t>
  </si>
  <si>
    <t>530_40</t>
  </si>
  <si>
    <t>531_5</t>
  </si>
  <si>
    <t>Lenoir City</t>
  </si>
  <si>
    <t>540_15</t>
  </si>
  <si>
    <t>McMinn County</t>
  </si>
  <si>
    <t>540_45</t>
  </si>
  <si>
    <t>550_10</t>
  </si>
  <si>
    <t>McNairy County</t>
  </si>
  <si>
    <t>550_20</t>
  </si>
  <si>
    <t>560_21</t>
  </si>
  <si>
    <t>Macon County</t>
  </si>
  <si>
    <t>560_30</t>
  </si>
  <si>
    <t>570_53</t>
  </si>
  <si>
    <t>Madison County</t>
  </si>
  <si>
    <t>570_63</t>
  </si>
  <si>
    <t>570_71</t>
  </si>
  <si>
    <t>570_105</t>
  </si>
  <si>
    <t>580_25</t>
  </si>
  <si>
    <t>Marion County</t>
  </si>
  <si>
    <t>580_55</t>
  </si>
  <si>
    <t>580_70</t>
  </si>
  <si>
    <t>581_5</t>
  </si>
  <si>
    <t>Richard City</t>
  </si>
  <si>
    <t>590_20</t>
  </si>
  <si>
    <t>Marshall County</t>
  </si>
  <si>
    <t>590_30</t>
  </si>
  <si>
    <t>590_47</t>
  </si>
  <si>
    <t>600_15</t>
  </si>
  <si>
    <t>Maury County</t>
  </si>
  <si>
    <t>600_30</t>
  </si>
  <si>
    <t>600_40</t>
  </si>
  <si>
    <t>600_65</t>
  </si>
  <si>
    <t>600_85</t>
  </si>
  <si>
    <t>600_95</t>
  </si>
  <si>
    <t>600_110</t>
  </si>
  <si>
    <t>610_25</t>
  </si>
  <si>
    <t>Meigs County</t>
  </si>
  <si>
    <t>620_37</t>
  </si>
  <si>
    <t>Monroe County</t>
  </si>
  <si>
    <t>620_40</t>
  </si>
  <si>
    <t>620_50</t>
  </si>
  <si>
    <t>630_19</t>
  </si>
  <si>
    <t>Montgomery County</t>
  </si>
  <si>
    <t>630_25</t>
  </si>
  <si>
    <t>630_30</t>
  </si>
  <si>
    <t>630_68</t>
  </si>
  <si>
    <t>630_70</t>
  </si>
  <si>
    <t>630_78</t>
  </si>
  <si>
    <t>630_88</t>
  </si>
  <si>
    <t>630_100</t>
  </si>
  <si>
    <t>640_15</t>
  </si>
  <si>
    <t>Moore County</t>
  </si>
  <si>
    <t>650_15</t>
  </si>
  <si>
    <t>Morgan County</t>
  </si>
  <si>
    <t>650_30</t>
  </si>
  <si>
    <t>650_55</t>
  </si>
  <si>
    <t>650_70</t>
  </si>
  <si>
    <t>660_35</t>
  </si>
  <si>
    <t>Obion County</t>
  </si>
  <si>
    <t>660_50</t>
  </si>
  <si>
    <t>661_15</t>
  </si>
  <si>
    <t>Union City</t>
  </si>
  <si>
    <t>670_30</t>
  </si>
  <si>
    <t>Overton County</t>
  </si>
  <si>
    <t>680_27</t>
  </si>
  <si>
    <t>Perry County</t>
  </si>
  <si>
    <t>690_5</t>
  </si>
  <si>
    <t>Pickett County</t>
  </si>
  <si>
    <t>700_15</t>
  </si>
  <si>
    <t>Polk County</t>
  </si>
  <si>
    <t>700_53</t>
  </si>
  <si>
    <t>710_37</t>
  </si>
  <si>
    <t>Putnam County</t>
  </si>
  <si>
    <t>710_55</t>
  </si>
  <si>
    <t>710_90</t>
  </si>
  <si>
    <t>720_32</t>
  </si>
  <si>
    <t>Rhea County</t>
  </si>
  <si>
    <t>730_15</t>
  </si>
  <si>
    <t>Roane County</t>
  </si>
  <si>
    <t>730_50</t>
  </si>
  <si>
    <t>730_65</t>
  </si>
  <si>
    <t>730_80</t>
  </si>
  <si>
    <t>730_81</t>
  </si>
  <si>
    <t>730_85</t>
  </si>
  <si>
    <t>740_32</t>
  </si>
  <si>
    <t>Robertson County</t>
  </si>
  <si>
    <t>740_40</t>
  </si>
  <si>
    <t>740_45</t>
  </si>
  <si>
    <t>740_70</t>
  </si>
  <si>
    <t>740_90</t>
  </si>
  <si>
    <t>740_95</t>
  </si>
  <si>
    <t>750_4</t>
  </si>
  <si>
    <t>Rutherford County</t>
  </si>
  <si>
    <t>750_15</t>
  </si>
  <si>
    <t>750_35</t>
  </si>
  <si>
    <t>750_37</t>
  </si>
  <si>
    <t>750_63</t>
  </si>
  <si>
    <t>750_72</t>
  </si>
  <si>
    <t>750_74</t>
  </si>
  <si>
    <t>750_98</t>
  </si>
  <si>
    <t>750_104</t>
  </si>
  <si>
    <t>750_225</t>
  </si>
  <si>
    <t>760_48</t>
  </si>
  <si>
    <t>Scott County</t>
  </si>
  <si>
    <t>761_10</t>
  </si>
  <si>
    <t>Oneida</t>
  </si>
  <si>
    <t>770_20</t>
  </si>
  <si>
    <t>Sequatchie County</t>
  </si>
  <si>
    <t>780_20</t>
  </si>
  <si>
    <t>Sevier County</t>
  </si>
  <si>
    <t>780_30</t>
  </si>
  <si>
    <t>780_46</t>
  </si>
  <si>
    <t>780_52</t>
  </si>
  <si>
    <t>780_55</t>
  </si>
  <si>
    <t>780_70</t>
  </si>
  <si>
    <t>792_35</t>
  </si>
  <si>
    <t>Shelby County</t>
  </si>
  <si>
    <t>792_110</t>
  </si>
  <si>
    <t>792_178</t>
  </si>
  <si>
    <t>792_2030</t>
  </si>
  <si>
    <t>792_2090</t>
  </si>
  <si>
    <t>792_2119</t>
  </si>
  <si>
    <t>792_2126</t>
  </si>
  <si>
    <t>792_2160</t>
  </si>
  <si>
    <t>792_2180</t>
  </si>
  <si>
    <t>792_2317</t>
  </si>
  <si>
    <t>792_2338</t>
  </si>
  <si>
    <t>792_2375</t>
  </si>
  <si>
    <t>792_2379</t>
  </si>
  <si>
    <t>792_2480</t>
  </si>
  <si>
    <t>792_2493</t>
  </si>
  <si>
    <t>792_2515</t>
  </si>
  <si>
    <t>792_2520</t>
  </si>
  <si>
    <t>792_2545</t>
  </si>
  <si>
    <t>792_2565</t>
  </si>
  <si>
    <t>792_2598</t>
  </si>
  <si>
    <t>792_2615</t>
  </si>
  <si>
    <t>792_2660</t>
  </si>
  <si>
    <t>792_2725</t>
  </si>
  <si>
    <t>792_2770</t>
  </si>
  <si>
    <t>792_2780</t>
  </si>
  <si>
    <t>792_2790</t>
  </si>
  <si>
    <t>792_2815</t>
  </si>
  <si>
    <t>792_2824</t>
  </si>
  <si>
    <t>792_2832</t>
  </si>
  <si>
    <t>792_8125</t>
  </si>
  <si>
    <t>792_8130</t>
  </si>
  <si>
    <t>792_8202</t>
  </si>
  <si>
    <t>792_8204</t>
  </si>
  <si>
    <t>792_8205</t>
  </si>
  <si>
    <t>792_8206</t>
  </si>
  <si>
    <t>792_8213</t>
  </si>
  <si>
    <t>792_8217</t>
  </si>
  <si>
    <t>792_8232</t>
  </si>
  <si>
    <t>792_8234</t>
  </si>
  <si>
    <t>792_8252</t>
  </si>
  <si>
    <t>792_8275</t>
  </si>
  <si>
    <t>793_1</t>
  </si>
  <si>
    <t>Arlington</t>
  </si>
  <si>
    <t>794_25</t>
  </si>
  <si>
    <t>Bartlett</t>
  </si>
  <si>
    <t>795_60</t>
  </si>
  <si>
    <t>Collierville</t>
  </si>
  <si>
    <t>796_111</t>
  </si>
  <si>
    <t>Germantown</t>
  </si>
  <si>
    <t>798_130</t>
  </si>
  <si>
    <t>Millington Municipal Schools</t>
  </si>
  <si>
    <t>800_25</t>
  </si>
  <si>
    <t>Smith County</t>
  </si>
  <si>
    <t>800_45</t>
  </si>
  <si>
    <t>810_25</t>
  </si>
  <si>
    <t>Stewart County</t>
  </si>
  <si>
    <t>820_60</t>
  </si>
  <si>
    <t>Sullivan County</t>
  </si>
  <si>
    <t>820_80</t>
  </si>
  <si>
    <t>820_182</t>
  </si>
  <si>
    <t>820_183</t>
  </si>
  <si>
    <t>821_45</t>
  </si>
  <si>
    <t>Bristol</t>
  </si>
  <si>
    <t>821_50</t>
  </si>
  <si>
    <t>822_10</t>
  </si>
  <si>
    <t>Kingsport</t>
  </si>
  <si>
    <t>830_7</t>
  </si>
  <si>
    <t>Sumner County</t>
  </si>
  <si>
    <t>830_25</t>
  </si>
  <si>
    <t>830_40</t>
  </si>
  <si>
    <t>830_53</t>
  </si>
  <si>
    <t>830_85</t>
  </si>
  <si>
    <t>830_93</t>
  </si>
  <si>
    <t>830_102</t>
  </si>
  <si>
    <t>830_120</t>
  </si>
  <si>
    <t>830_125</t>
  </si>
  <si>
    <t>830_155</t>
  </si>
  <si>
    <t>840_11</t>
  </si>
  <si>
    <t>Tipton County</t>
  </si>
  <si>
    <t>840_15</t>
  </si>
  <si>
    <t>840_50</t>
  </si>
  <si>
    <t>850_10</t>
  </si>
  <si>
    <t>Trousdale County</t>
  </si>
  <si>
    <t>860_35</t>
  </si>
  <si>
    <t>Unicoi County</t>
  </si>
  <si>
    <t>870_55</t>
  </si>
  <si>
    <t>Union County</t>
  </si>
  <si>
    <t>880_35</t>
  </si>
  <si>
    <t>Van Buren County</t>
  </si>
  <si>
    <t>890_80</t>
  </si>
  <si>
    <t>Warren County</t>
  </si>
  <si>
    <t>900_37</t>
  </si>
  <si>
    <t>Washington County</t>
  </si>
  <si>
    <t>900_38</t>
  </si>
  <si>
    <t>900_105</t>
  </si>
  <si>
    <t>900_115</t>
  </si>
  <si>
    <t>901_45</t>
  </si>
  <si>
    <t>Johnson City</t>
  </si>
  <si>
    <t>910_10</t>
  </si>
  <si>
    <t>Wayne County</t>
  </si>
  <si>
    <t>910_25</t>
  </si>
  <si>
    <t>910_35</t>
  </si>
  <si>
    <t>920_10</t>
  </si>
  <si>
    <t>Weakley County</t>
  </si>
  <si>
    <t>920_15</t>
  </si>
  <si>
    <t>920_25</t>
  </si>
  <si>
    <t>920_40</t>
  </si>
  <si>
    <t>930_40</t>
  </si>
  <si>
    <t>White County</t>
  </si>
  <si>
    <t>940_12</t>
  </si>
  <si>
    <t>Williamson County</t>
  </si>
  <si>
    <t>940_17</t>
  </si>
  <si>
    <t>940_35</t>
  </si>
  <si>
    <t>940_40</t>
  </si>
  <si>
    <t>940_42</t>
  </si>
  <si>
    <t>940_52</t>
  </si>
  <si>
    <t>940_63</t>
  </si>
  <si>
    <t>940_74</t>
  </si>
  <si>
    <t>940_79</t>
  </si>
  <si>
    <t>950_25</t>
  </si>
  <si>
    <t>Wilson County</t>
  </si>
  <si>
    <t>950_30</t>
  </si>
  <si>
    <t>950_60</t>
  </si>
  <si>
    <t>950_73</t>
  </si>
  <si>
    <t>950_87</t>
  </si>
  <si>
    <t>961_5</t>
  </si>
  <si>
    <t>Alvin C York Institute</t>
  </si>
  <si>
    <t>963_5</t>
  </si>
  <si>
    <t>Tennessee School for Blind</t>
  </si>
  <si>
    <t>964_10</t>
  </si>
  <si>
    <t>Tennessee School for the Deaf</t>
  </si>
  <si>
    <t>985_35</t>
  </si>
  <si>
    <t>Achievement School District</t>
  </si>
  <si>
    <t>985_45</t>
  </si>
  <si>
    <t>985_50</t>
  </si>
  <si>
    <t>985_8055</t>
  </si>
  <si>
    <t>985_8065</t>
  </si>
  <si>
    <t>985_8140</t>
  </si>
  <si>
    <t>SCHOOL_TYPE</t>
  </si>
  <si>
    <t>ADDRESS</t>
  </si>
  <si>
    <t>CITY</t>
  </si>
  <si>
    <t>STATE</t>
  </si>
  <si>
    <t>ZIP</t>
  </si>
  <si>
    <t>CHARTER</t>
  </si>
  <si>
    <t>Anderson County High School</t>
  </si>
  <si>
    <t>Public</t>
  </si>
  <si>
    <t>130 Maverick CIR</t>
  </si>
  <si>
    <t>Clinton</t>
  </si>
  <si>
    <t>TN</t>
  </si>
  <si>
    <t>N</t>
  </si>
  <si>
    <t>10_5</t>
  </si>
  <si>
    <t>Andersonville Elementary</t>
  </si>
  <si>
    <t>1951 Mountain RD</t>
  </si>
  <si>
    <t>Andersonville</t>
  </si>
  <si>
    <t>10_10</t>
  </si>
  <si>
    <t>Briceville Elementary</t>
  </si>
  <si>
    <t>103 Slatestone RD</t>
  </si>
  <si>
    <t>Briceville</t>
  </si>
  <si>
    <t>10_15</t>
  </si>
  <si>
    <t>Claxton Elementary</t>
  </si>
  <si>
    <t>2218 Clinton HWY</t>
  </si>
  <si>
    <t>Powell</t>
  </si>
  <si>
    <t>10_20</t>
  </si>
  <si>
    <t>Clinton Middle School</t>
  </si>
  <si>
    <t>110 N Hicks ST</t>
  </si>
  <si>
    <t>Clinton High School</t>
  </si>
  <si>
    <t>425 Dragon DR</t>
  </si>
  <si>
    <t>10_35</t>
  </si>
  <si>
    <t>Dutch Valley Elementary</t>
  </si>
  <si>
    <t>1044 Old Dutch Valley RD</t>
  </si>
  <si>
    <t>10_40</t>
  </si>
  <si>
    <t>Fairview Elementary</t>
  </si>
  <si>
    <t>6715 Hickory Valley RD</t>
  </si>
  <si>
    <t>Heiskell</t>
  </si>
  <si>
    <t>10_46</t>
  </si>
  <si>
    <t>Grand Oaks Elementary</t>
  </si>
  <si>
    <t>1033 Oliver Springs HWY</t>
  </si>
  <si>
    <t>10_50</t>
  </si>
  <si>
    <t>Lake City Elementary</t>
  </si>
  <si>
    <t>402 Lindsay ST</t>
  </si>
  <si>
    <t>Lake City</t>
  </si>
  <si>
    <t>10_55</t>
  </si>
  <si>
    <t>Lake City Middle School</t>
  </si>
  <si>
    <t>1132 S Main ST</t>
  </si>
  <si>
    <t>10_70</t>
  </si>
  <si>
    <t>Norris Elementary</t>
  </si>
  <si>
    <t>42 East Circle DR</t>
  </si>
  <si>
    <t>Norris</t>
  </si>
  <si>
    <t>10_75</t>
  </si>
  <si>
    <t>Norris Middle School</t>
  </si>
  <si>
    <t>5 Norris Square</t>
  </si>
  <si>
    <t>10_80</t>
  </si>
  <si>
    <t>Norwood Elementary</t>
  </si>
  <si>
    <t>809 Tri- County BLVD</t>
  </si>
  <si>
    <t>Oliver Springs</t>
  </si>
  <si>
    <t>10_85</t>
  </si>
  <si>
    <t>Norwood Middle School</t>
  </si>
  <si>
    <t>803 Tri- County BLVD</t>
  </si>
  <si>
    <t>10_105</t>
  </si>
  <si>
    <t>Clinch River Community School</t>
  </si>
  <si>
    <t>160 Maverick CIR</t>
  </si>
  <si>
    <t>11_5</t>
  </si>
  <si>
    <t>Clinton Elementary</t>
  </si>
  <si>
    <t>210 N Hicks ST</t>
  </si>
  <si>
    <t>11_10</t>
  </si>
  <si>
    <t>North Clinton Elementary</t>
  </si>
  <si>
    <t>305 Beets ST</t>
  </si>
  <si>
    <t>11_15</t>
  </si>
  <si>
    <t>South Clinton Elementary</t>
  </si>
  <si>
    <t>242 Hiway DR</t>
  </si>
  <si>
    <t>12_15</t>
  </si>
  <si>
    <t>Glenwood Elementary</t>
  </si>
  <si>
    <t>125 Audubon RD</t>
  </si>
  <si>
    <t>12_25</t>
  </si>
  <si>
    <t>Jefferson Middle School</t>
  </si>
  <si>
    <t>200 Fairbanks RD</t>
  </si>
  <si>
    <t>12_30</t>
  </si>
  <si>
    <t>Linden Elementary</t>
  </si>
  <si>
    <t>700 Robertsville RD</t>
  </si>
  <si>
    <t>Oak Ridge High School</t>
  </si>
  <si>
    <t>1450 Oak Ridge Turnpike</t>
  </si>
  <si>
    <t>12_40</t>
  </si>
  <si>
    <t>Robertsville Middle School</t>
  </si>
  <si>
    <t>245 Robertsville RD</t>
  </si>
  <si>
    <t>12_45</t>
  </si>
  <si>
    <t>Willow Brook Elementary</t>
  </si>
  <si>
    <t>298 Robertsville RD</t>
  </si>
  <si>
    <t>12_50</t>
  </si>
  <si>
    <t>Woodland Elementary</t>
  </si>
  <si>
    <t>168 Manhattan AVE</t>
  </si>
  <si>
    <t>20_12</t>
  </si>
  <si>
    <t>Cascade Elementary</t>
  </si>
  <si>
    <t>2998 Fairfield PIKE</t>
  </si>
  <si>
    <t>Wartrace</t>
  </si>
  <si>
    <t>Cascade High School</t>
  </si>
  <si>
    <t>1165 Bell Bckle/Wartrace</t>
  </si>
  <si>
    <t>20_15</t>
  </si>
  <si>
    <t>Eakin Elementary</t>
  </si>
  <si>
    <t>1100 Glenoaks RD</t>
  </si>
  <si>
    <t>Shelbyville</t>
  </si>
  <si>
    <t>20_17</t>
  </si>
  <si>
    <t>Cascade Middle School</t>
  </si>
  <si>
    <t>1165 Bell Buckle Wartrace RD</t>
  </si>
  <si>
    <t>Shelbyville Central High School</t>
  </si>
  <si>
    <t>401 Eagle BLVD</t>
  </si>
  <si>
    <t>20_25</t>
  </si>
  <si>
    <t>Harris Middle School</t>
  </si>
  <si>
    <t>570 Eagle BLVD</t>
  </si>
  <si>
    <t>20_33</t>
  </si>
  <si>
    <t>Community Elementary School</t>
  </si>
  <si>
    <t>3480 Highway 41a</t>
  </si>
  <si>
    <t>Unionville</t>
  </si>
  <si>
    <t>Community High School</t>
  </si>
  <si>
    <t>100 Community Crossing</t>
  </si>
  <si>
    <t>20_37</t>
  </si>
  <si>
    <t>Community Middle School</t>
  </si>
  <si>
    <t>3470 Hwy 41A RD</t>
  </si>
  <si>
    <t>20_39</t>
  </si>
  <si>
    <t>Learning Way Elementary</t>
  </si>
  <si>
    <t>200 Learning Way DR</t>
  </si>
  <si>
    <t>20_40</t>
  </si>
  <si>
    <t>East Side Elementary</t>
  </si>
  <si>
    <t>421 Elliott ST</t>
  </si>
  <si>
    <t>20_53</t>
  </si>
  <si>
    <t>Liberty Elementary</t>
  </si>
  <si>
    <t>500 Snell RD</t>
  </si>
  <si>
    <t>20_75</t>
  </si>
  <si>
    <t>South Side Elementary</t>
  </si>
  <si>
    <t>903 Cannon BLVD</t>
  </si>
  <si>
    <t>20_78</t>
  </si>
  <si>
    <t>Thomas Magnet</t>
  </si>
  <si>
    <t>515 Tate Avenue</t>
  </si>
  <si>
    <t>Big Sandy School</t>
  </si>
  <si>
    <t>13305 Highway 69 A</t>
  </si>
  <si>
    <t>Big Sandy</t>
  </si>
  <si>
    <t>30_15</t>
  </si>
  <si>
    <t>Briarwood School</t>
  </si>
  <si>
    <t>169 Briarwood AVE</t>
  </si>
  <si>
    <t>Camden</t>
  </si>
  <si>
    <t>30_20</t>
  </si>
  <si>
    <t>Camden Elementary</t>
  </si>
  <si>
    <t>208 Washington AVE</t>
  </si>
  <si>
    <t>Camden Central High School</t>
  </si>
  <si>
    <t>115 Schools DR</t>
  </si>
  <si>
    <t>30_27</t>
  </si>
  <si>
    <t>Camden Jr High School</t>
  </si>
  <si>
    <t>75 Schools DR</t>
  </si>
  <si>
    <t>30_30</t>
  </si>
  <si>
    <t>Holladay Elementary</t>
  </si>
  <si>
    <t>148 Stokes RD</t>
  </si>
  <si>
    <t>Holladay</t>
  </si>
  <si>
    <t>Bledsoe County High School</t>
  </si>
  <si>
    <t>877 Main ST</t>
  </si>
  <si>
    <t>Pikeville</t>
  </si>
  <si>
    <t>40_6</t>
  </si>
  <si>
    <t>Bledsoe County Middle School</t>
  </si>
  <si>
    <t>857 Main ST</t>
  </si>
  <si>
    <t>40_10</t>
  </si>
  <si>
    <t>Cecil B Rigsby Elementary</t>
  </si>
  <si>
    <t>8231 New Harmony RD</t>
  </si>
  <si>
    <t>40_25</t>
  </si>
  <si>
    <t>Mary V Wheeler Elementary</t>
  </si>
  <si>
    <t>33073 S R 30</t>
  </si>
  <si>
    <t>40_30</t>
  </si>
  <si>
    <t>Pikeville Elementary</t>
  </si>
  <si>
    <t>41068 S R 30</t>
  </si>
  <si>
    <t>50_22</t>
  </si>
  <si>
    <t>Carpenters Elementary School</t>
  </si>
  <si>
    <t>915 Huffstetler RD</t>
  </si>
  <si>
    <t>50_23</t>
  </si>
  <si>
    <t>Carpenters Middle School</t>
  </si>
  <si>
    <t>920 Huffstetler RD</t>
  </si>
  <si>
    <t>50_30</t>
  </si>
  <si>
    <t>Eagleton Middle School</t>
  </si>
  <si>
    <t>2610 Cinema DR</t>
  </si>
  <si>
    <t>50_43</t>
  </si>
  <si>
    <t>Eagleton Elementary</t>
  </si>
  <si>
    <t>708 Sam Houston School RD</t>
  </si>
  <si>
    <t>50_45</t>
  </si>
  <si>
    <t>2130 Old Niles Ferry</t>
  </si>
  <si>
    <t>50_55</t>
  </si>
  <si>
    <t>Friendsville Elementary</t>
  </si>
  <si>
    <t>210 E 4th AVE</t>
  </si>
  <si>
    <t>Friendsville</t>
  </si>
  <si>
    <t>50_61</t>
  </si>
  <si>
    <t>Heritage Middle School</t>
  </si>
  <si>
    <t>3737 E Lamar Alex Pkwy</t>
  </si>
  <si>
    <t>Heritage High School</t>
  </si>
  <si>
    <t>3741 E Lamar Alex Pkwy</t>
  </si>
  <si>
    <t>50_70</t>
  </si>
  <si>
    <t>Lanier Elementary</t>
  </si>
  <si>
    <t>6006 Lanier RD</t>
  </si>
  <si>
    <t>50_84</t>
  </si>
  <si>
    <t>Union Grove Middle School</t>
  </si>
  <si>
    <t>334 South Old Grey Ridge RD</t>
  </si>
  <si>
    <t>50_90</t>
  </si>
  <si>
    <t>Mary Blount Elementary</t>
  </si>
  <si>
    <t>131 South Old Glory RD</t>
  </si>
  <si>
    <t>50_93</t>
  </si>
  <si>
    <t>Middlesettlements</t>
  </si>
  <si>
    <t>3105 Miser Station RD</t>
  </si>
  <si>
    <t>Louisville</t>
  </si>
  <si>
    <t>50_94</t>
  </si>
  <si>
    <t>Montvale Elementary</t>
  </si>
  <si>
    <t>3128 Montvale RD</t>
  </si>
  <si>
    <t>50_95</t>
  </si>
  <si>
    <t>Porter Elementary</t>
  </si>
  <si>
    <t>4520 Wildwood Springs RD</t>
  </si>
  <si>
    <t>50_110</t>
  </si>
  <si>
    <t>Rockford Elementary</t>
  </si>
  <si>
    <t>3728 Williams Mill RD</t>
  </si>
  <si>
    <t>Rockford</t>
  </si>
  <si>
    <t>50_125</t>
  </si>
  <si>
    <t>Townsend Elementary</t>
  </si>
  <si>
    <t>140 Tiger DR</t>
  </si>
  <si>
    <t>Townsend</t>
  </si>
  <si>
    <t>50_138</t>
  </si>
  <si>
    <t>Union Grove Elementary School</t>
  </si>
  <si>
    <t>330 South Old Grey Ridge RD</t>
  </si>
  <si>
    <t>50_145</t>
  </si>
  <si>
    <t>Walland Elementary School</t>
  </si>
  <si>
    <t>247 E Millers Cove RD</t>
  </si>
  <si>
    <t>Walland</t>
  </si>
  <si>
    <t>William Blount High School</t>
  </si>
  <si>
    <t>219 County Farm RD</t>
  </si>
  <si>
    <t>50_160</t>
  </si>
  <si>
    <t>Prospect Elementary School</t>
  </si>
  <si>
    <t>1535 Burnett Station RD</t>
  </si>
  <si>
    <t>Seymour</t>
  </si>
  <si>
    <t>51_5</t>
  </si>
  <si>
    <t>Alcoa Elementary</t>
  </si>
  <si>
    <t>1200 Springbrook RD</t>
  </si>
  <si>
    <t>51_6</t>
  </si>
  <si>
    <t>Alcoa Middle School</t>
  </si>
  <si>
    <t>532 Faraday ST</t>
  </si>
  <si>
    <t>Alcoa High School</t>
  </si>
  <si>
    <t>1205 Lodge ST</t>
  </si>
  <si>
    <t>51_12</t>
  </si>
  <si>
    <t>Alcoa Intermediate School</t>
  </si>
  <si>
    <t>1325 Springbrook RD</t>
  </si>
  <si>
    <t>52_10</t>
  </si>
  <si>
    <t>John Sevier Elementary</t>
  </si>
  <si>
    <t>2001 Sequoyah Avenue</t>
  </si>
  <si>
    <t>Maryville High School</t>
  </si>
  <si>
    <t>825 Lawrence AVE</t>
  </si>
  <si>
    <t>52_18</t>
  </si>
  <si>
    <t>Montgomery Ridge Intermediate School</t>
  </si>
  <si>
    <t>835 Montgomery LN</t>
  </si>
  <si>
    <t>52_20</t>
  </si>
  <si>
    <t>Maryville Junior High School</t>
  </si>
  <si>
    <t>805 Montvale Sta RD</t>
  </si>
  <si>
    <t>52_25</t>
  </si>
  <si>
    <t>Sam Houston Elementary</t>
  </si>
  <si>
    <t>330 Melrose ST</t>
  </si>
  <si>
    <t>52_30</t>
  </si>
  <si>
    <t>Foothills Elementary</t>
  </si>
  <si>
    <t>520 Sandy Springs RD</t>
  </si>
  <si>
    <t>52_35</t>
  </si>
  <si>
    <t>Coulter Grove Intermediate School</t>
  </si>
  <si>
    <t>2025 Sevierville RD</t>
  </si>
  <si>
    <t>60_10</t>
  </si>
  <si>
    <t>Black Fox Elementary School</t>
  </si>
  <si>
    <t>3119 Varnell RD</t>
  </si>
  <si>
    <t>60_18</t>
  </si>
  <si>
    <t>Ocoee Middle School</t>
  </si>
  <si>
    <t>2250 N Ocoee ST</t>
  </si>
  <si>
    <t>Bradley Central High School</t>
  </si>
  <si>
    <t>1000 South Lee Highway</t>
  </si>
  <si>
    <t>60_30</t>
  </si>
  <si>
    <t>Charleston Elementary School</t>
  </si>
  <si>
    <t>8797 Hiwassee ST</t>
  </si>
  <si>
    <t>Charleston</t>
  </si>
  <si>
    <t>60_40</t>
  </si>
  <si>
    <t>Hopewell Elementary School</t>
  </si>
  <si>
    <t>5350 Freewill Road NW</t>
  </si>
  <si>
    <t>60_50</t>
  </si>
  <si>
    <t>Michigan Avenue Elementary School</t>
  </si>
  <si>
    <t>188 Michigan Ave School RD</t>
  </si>
  <si>
    <t>North Cleveland GOAL Academy</t>
  </si>
  <si>
    <t>209 Sunset DR</t>
  </si>
  <si>
    <t>60_55</t>
  </si>
  <si>
    <t>North Lee Elementary School</t>
  </si>
  <si>
    <t>205 Sequoia DR</t>
  </si>
  <si>
    <t>60_60</t>
  </si>
  <si>
    <t>Oak Grove Elementary School</t>
  </si>
  <si>
    <t>400 Durkee Road SE</t>
  </si>
  <si>
    <t>60_65</t>
  </si>
  <si>
    <t>2450 Prospect School RD</t>
  </si>
  <si>
    <t>60_70</t>
  </si>
  <si>
    <t>Taylor Elementary School</t>
  </si>
  <si>
    <t>5265 Bates PIKE</t>
  </si>
  <si>
    <t>60_72</t>
  </si>
  <si>
    <t>Lake Forest Middle School</t>
  </si>
  <si>
    <t>610 Kile Lake RD</t>
  </si>
  <si>
    <t>60_75</t>
  </si>
  <si>
    <t>Valley View Elementary School</t>
  </si>
  <si>
    <t>5607 Spring Place RD</t>
  </si>
  <si>
    <t>Walker Valley High School</t>
  </si>
  <si>
    <t>750 Lauderdale Memorial Hwy. N. W.</t>
  </si>
  <si>
    <t>60_100</t>
  </si>
  <si>
    <t>Waterville Community Elementary School</t>
  </si>
  <si>
    <t>4081 Dalton Pike</t>
  </si>
  <si>
    <t>60_102</t>
  </si>
  <si>
    <t>Park View Elementary School</t>
  </si>
  <si>
    <t>300 Minnis RD</t>
  </si>
  <si>
    <t>Bradley County Virtual School</t>
  </si>
  <si>
    <t>301 Keith ST, Suite 102</t>
  </si>
  <si>
    <t>61_10</t>
  </si>
  <si>
    <t>Arnold Memorial Elementary</t>
  </si>
  <si>
    <t>473 8th N W ST</t>
  </si>
  <si>
    <t>61_12</t>
  </si>
  <si>
    <t>Blythe-Bower Elementary</t>
  </si>
  <si>
    <t>604 20th St SE</t>
  </si>
  <si>
    <t>61_18</t>
  </si>
  <si>
    <t>Cleveland Middle</t>
  </si>
  <si>
    <t>3635 Georgetown Road N. W.</t>
  </si>
  <si>
    <t>Cleveland High</t>
  </si>
  <si>
    <t>850 Raider DR</t>
  </si>
  <si>
    <t>61_21</t>
  </si>
  <si>
    <t>D.P. Yates Primary</t>
  </si>
  <si>
    <t>750 Mouse Creek RD</t>
  </si>
  <si>
    <t>61_22</t>
  </si>
  <si>
    <t>E.L. Ross Elementary</t>
  </si>
  <si>
    <t>4340 Mouse Creek RD</t>
  </si>
  <si>
    <t>61_25</t>
  </si>
  <si>
    <t>G.R. Stuart Elementary</t>
  </si>
  <si>
    <t>802 20th Nw ST</t>
  </si>
  <si>
    <t>61_30</t>
  </si>
  <si>
    <t>Mayfield Elementary</t>
  </si>
  <si>
    <t>501 20th Street NE</t>
  </si>
  <si>
    <t>F.I. Denning Center of Technology and Careers</t>
  </si>
  <si>
    <t>350 Central AVE</t>
  </si>
  <si>
    <t>Campbell County Comprehensive High School</t>
  </si>
  <si>
    <t>150 Cougar LN</t>
  </si>
  <si>
    <t>Jacksboro</t>
  </si>
  <si>
    <t>70_5</t>
  </si>
  <si>
    <t>Caryville Elementary</t>
  </si>
  <si>
    <t>120 Cardinal CIR</t>
  </si>
  <si>
    <t>Caryville</t>
  </si>
  <si>
    <t>70_40</t>
  </si>
  <si>
    <t>Elk Valley Elementary</t>
  </si>
  <si>
    <t>6691 Hwy 297</t>
  </si>
  <si>
    <t>Pioneer</t>
  </si>
  <si>
    <t>70_60</t>
  </si>
  <si>
    <t>Jacksboro Elementary</t>
  </si>
  <si>
    <t>164 Jacksboro Elem School RD</t>
  </si>
  <si>
    <t>70_65</t>
  </si>
  <si>
    <t>Jacksboro Middle School</t>
  </si>
  <si>
    <t>150 Eagle CIR</t>
  </si>
  <si>
    <t>70_70</t>
  </si>
  <si>
    <t>Jellico Elementary</t>
  </si>
  <si>
    <t>551 Sunset TRL</t>
  </si>
  <si>
    <t>Jellico</t>
  </si>
  <si>
    <t>Jellico High School</t>
  </si>
  <si>
    <t>141 High School LN</t>
  </si>
  <si>
    <t>70_77</t>
  </si>
  <si>
    <t>LaFollette Elementary School</t>
  </si>
  <si>
    <t>195 Myers LN</t>
  </si>
  <si>
    <t>LaFollette</t>
  </si>
  <si>
    <t>70_80</t>
  </si>
  <si>
    <t>Lafollette Middle School</t>
  </si>
  <si>
    <t>1309 East Central AVE</t>
  </si>
  <si>
    <t>La Follette</t>
  </si>
  <si>
    <t>70_135</t>
  </si>
  <si>
    <t>Valley View Elementary</t>
  </si>
  <si>
    <t>1187 Old Middlesboro HWY</t>
  </si>
  <si>
    <t>70_140</t>
  </si>
  <si>
    <t>White Oak Elementary</t>
  </si>
  <si>
    <t>5634 White Oak RD</t>
  </si>
  <si>
    <t>Duff</t>
  </si>
  <si>
    <t>70_150</t>
  </si>
  <si>
    <t>Wynn Habersham Elementary</t>
  </si>
  <si>
    <t>174 Habersham RD</t>
  </si>
  <si>
    <t>80_5</t>
  </si>
  <si>
    <t>Auburn Elementary</t>
  </si>
  <si>
    <t>150 Vantrease AVE</t>
  </si>
  <si>
    <t>Auburntown</t>
  </si>
  <si>
    <t>Cannon County High School</t>
  </si>
  <si>
    <t>1 Lion DR</t>
  </si>
  <si>
    <t>Woodbury</t>
  </si>
  <si>
    <t>80_20</t>
  </si>
  <si>
    <t>5658 McMinnville HWY</t>
  </si>
  <si>
    <t>80_30</t>
  </si>
  <si>
    <t>Short Mountain Elementary</t>
  </si>
  <si>
    <t>5988 Short Mountain RD</t>
  </si>
  <si>
    <t>80_35</t>
  </si>
  <si>
    <t>West Side Elementary</t>
  </si>
  <si>
    <t>3714 Murfreesboro RD</t>
  </si>
  <si>
    <t>Readyville</t>
  </si>
  <si>
    <t>80_40</t>
  </si>
  <si>
    <t>Woodbury Grammar</t>
  </si>
  <si>
    <t>530 West Adams ST</t>
  </si>
  <si>
    <t>80_45</t>
  </si>
  <si>
    <t>8383 Jim Cummings HWY</t>
  </si>
  <si>
    <t>Bradyville</t>
  </si>
  <si>
    <t>92_5</t>
  </si>
  <si>
    <t>Central Elementary</t>
  </si>
  <si>
    <t>29590 Broad ST</t>
  </si>
  <si>
    <t>Bruceton</t>
  </si>
  <si>
    <t>Central High School</t>
  </si>
  <si>
    <t>93_5</t>
  </si>
  <si>
    <t>Huntingdon Middle School</t>
  </si>
  <si>
    <t>199 Browning AVE</t>
  </si>
  <si>
    <t>Huntingdon</t>
  </si>
  <si>
    <t>Huntingdon High School</t>
  </si>
  <si>
    <t>475 Mustang DR</t>
  </si>
  <si>
    <t>93_15</t>
  </si>
  <si>
    <t>Huntingdon Primary</t>
  </si>
  <si>
    <t>191 Cox ST</t>
  </si>
  <si>
    <t>94_5</t>
  </si>
  <si>
    <t>McKenzie Elementary</t>
  </si>
  <si>
    <t>165 Brooks AVE</t>
  </si>
  <si>
    <t>McKenzie High School</t>
  </si>
  <si>
    <t>23292 Highway 22</t>
  </si>
  <si>
    <t>94_15</t>
  </si>
  <si>
    <t>McKenzie Middle School</t>
  </si>
  <si>
    <t>80 West Woodrow AVE</t>
  </si>
  <si>
    <t>Clarksburg School</t>
  </si>
  <si>
    <t>145 Clarksburg RD</t>
  </si>
  <si>
    <t>Clarksburg</t>
  </si>
  <si>
    <t>West Carroll Junior/Senior High School</t>
  </si>
  <si>
    <t>760 Highway 77</t>
  </si>
  <si>
    <t>Atwood</t>
  </si>
  <si>
    <t>97_20</t>
  </si>
  <si>
    <t>West Carroll Primary</t>
  </si>
  <si>
    <t>8725 Highway 105</t>
  </si>
  <si>
    <t>McLemoresville</t>
  </si>
  <si>
    <t>97_25</t>
  </si>
  <si>
    <t>West Carroll Elementary School</t>
  </si>
  <si>
    <t>100 Harber ST</t>
  </si>
  <si>
    <t>Trezevant</t>
  </si>
  <si>
    <t>100_5</t>
  </si>
  <si>
    <t>252 Taylor RD</t>
  </si>
  <si>
    <t>100_13</t>
  </si>
  <si>
    <t>Cloudland Elementary School</t>
  </si>
  <si>
    <t>8540 Highway 19 East</t>
  </si>
  <si>
    <t>Roan Mountain</t>
  </si>
  <si>
    <t>Cloudland High School</t>
  </si>
  <si>
    <t>476 Cloudland DR</t>
  </si>
  <si>
    <t>100_25</t>
  </si>
  <si>
    <t>Hampton Elementary</t>
  </si>
  <si>
    <t>408 Hwy 321</t>
  </si>
  <si>
    <t>Hampton</t>
  </si>
  <si>
    <t>Hampton High School</t>
  </si>
  <si>
    <t>766 1st ST</t>
  </si>
  <si>
    <t>100_35</t>
  </si>
  <si>
    <t>Happy Valley Elementary</t>
  </si>
  <si>
    <t>1840 Milligan HWY</t>
  </si>
  <si>
    <t>Happy Valley High School</t>
  </si>
  <si>
    <t>121 Warpath LN</t>
  </si>
  <si>
    <t>100_43</t>
  </si>
  <si>
    <t>Happy Valley Middle School</t>
  </si>
  <si>
    <t>163 Warpath LN</t>
  </si>
  <si>
    <t>100_45</t>
  </si>
  <si>
    <t>Hunter Elementary</t>
  </si>
  <si>
    <t>145 Hope ST</t>
  </si>
  <si>
    <t>100_50</t>
  </si>
  <si>
    <t>Keenburg Elementary</t>
  </si>
  <si>
    <t>139 Keenburg RD</t>
  </si>
  <si>
    <t>100_55</t>
  </si>
  <si>
    <t>Little Milligan</t>
  </si>
  <si>
    <t>4226 Hwy 321</t>
  </si>
  <si>
    <t>Butler</t>
  </si>
  <si>
    <t>100_85</t>
  </si>
  <si>
    <t>Unaka Elementary</t>
  </si>
  <si>
    <t>120 Unaka DR</t>
  </si>
  <si>
    <t>Unaka High School</t>
  </si>
  <si>
    <t>119 Robinson LN</t>
  </si>
  <si>
    <t>100_95</t>
  </si>
  <si>
    <t>Valley Forge Elementary</t>
  </si>
  <si>
    <t>1485 Riverview DR</t>
  </si>
  <si>
    <t>101_10</t>
  </si>
  <si>
    <t>800 Siam RD</t>
  </si>
  <si>
    <t>Elizabethton High School</t>
  </si>
  <si>
    <t>907 Jason Witten Way</t>
  </si>
  <si>
    <t>101_20</t>
  </si>
  <si>
    <t>Harold McCormick Elementary</t>
  </si>
  <si>
    <t>226 Cedar AVE</t>
  </si>
  <si>
    <t>101_25</t>
  </si>
  <si>
    <t>T A Dugger Junior High School</t>
  </si>
  <si>
    <t>305 West E ST</t>
  </si>
  <si>
    <t>101_30</t>
  </si>
  <si>
    <t>1310 Burgie ST</t>
  </si>
  <si>
    <t>110_5</t>
  </si>
  <si>
    <t>Ashland City Elementary</t>
  </si>
  <si>
    <t>108 Elizabeth ST</t>
  </si>
  <si>
    <t>Ashland City</t>
  </si>
  <si>
    <t>Cheatham Co Central</t>
  </si>
  <si>
    <t>1 Cub CIR</t>
  </si>
  <si>
    <t>110_14</t>
  </si>
  <si>
    <t>Cheatham Middle School</t>
  </si>
  <si>
    <t>700 Scoutview DR</t>
  </si>
  <si>
    <t>110_15</t>
  </si>
  <si>
    <t>East Cheatham Elementary</t>
  </si>
  <si>
    <t>3201 Bearwallow RD</t>
  </si>
  <si>
    <t>110_18</t>
  </si>
  <si>
    <t>Harpeth Middle School</t>
  </si>
  <si>
    <t>170 Harpeth View TRL</t>
  </si>
  <si>
    <t>Kingston Springs</t>
  </si>
  <si>
    <t>Harpeth High School</t>
  </si>
  <si>
    <t>170 E Kingston Springs</t>
  </si>
  <si>
    <t>110_20</t>
  </si>
  <si>
    <t>Kingston Springs Elementary</t>
  </si>
  <si>
    <t>166 West Kingston Springs RD</t>
  </si>
  <si>
    <t>110_25</t>
  </si>
  <si>
    <t>Pegram Elementary</t>
  </si>
  <si>
    <t>4552 Dogwood LN</t>
  </si>
  <si>
    <t>Pegram</t>
  </si>
  <si>
    <t>110_30</t>
  </si>
  <si>
    <t>Pleasant View Elementary</t>
  </si>
  <si>
    <t>2625 Church ST</t>
  </si>
  <si>
    <t>Pleasant View</t>
  </si>
  <si>
    <t>110_32</t>
  </si>
  <si>
    <t>Sycamore Middle School</t>
  </si>
  <si>
    <t>1025 Old Clarksville PIKE</t>
  </si>
  <si>
    <t>Sycamore High School</t>
  </si>
  <si>
    <t>1021 Old Clarksville PIKE</t>
  </si>
  <si>
    <t>110_35</t>
  </si>
  <si>
    <t>West Cheatham Elementary</t>
  </si>
  <si>
    <t>3120 Highway 12 North</t>
  </si>
  <si>
    <t>Chapmansboro</t>
  </si>
  <si>
    <t>110_40</t>
  </si>
  <si>
    <t>Riverside Academy</t>
  </si>
  <si>
    <t>102 Elizabeth ST</t>
  </si>
  <si>
    <t>120_5</t>
  </si>
  <si>
    <t>Chester County Middle School</t>
  </si>
  <si>
    <t>634 East Main ST</t>
  </si>
  <si>
    <t>Henderson</t>
  </si>
  <si>
    <t>Chester County High School</t>
  </si>
  <si>
    <t>552 East Main ST</t>
  </si>
  <si>
    <t>120_10</t>
  </si>
  <si>
    <t>Chester County Junior High School</t>
  </si>
  <si>
    <t>930 East Main ST</t>
  </si>
  <si>
    <t>120_15</t>
  </si>
  <si>
    <t>East Chester Elementary School</t>
  </si>
  <si>
    <t>708 East Main ST</t>
  </si>
  <si>
    <t>120_25</t>
  </si>
  <si>
    <t>Jacks Creek Elementary</t>
  </si>
  <si>
    <t>65 State Route 22A</t>
  </si>
  <si>
    <t>Jacks Creek</t>
  </si>
  <si>
    <t>120_30</t>
  </si>
  <si>
    <t>W Chester Elementary School</t>
  </si>
  <si>
    <t>1243 West Main ST</t>
  </si>
  <si>
    <t>130_35</t>
  </si>
  <si>
    <t>Clairfield Elementary</t>
  </si>
  <si>
    <t>6360 Hwy 90</t>
  </si>
  <si>
    <t>Clairfield</t>
  </si>
  <si>
    <t>130_45</t>
  </si>
  <si>
    <t>Ellen Myers Primary</t>
  </si>
  <si>
    <t>275 Nettleton RD</t>
  </si>
  <si>
    <t>Harrogate</t>
  </si>
  <si>
    <t>130_50</t>
  </si>
  <si>
    <t>Forge Ridge School</t>
  </si>
  <si>
    <t>160 Hill RD</t>
  </si>
  <si>
    <t>130_67</t>
  </si>
  <si>
    <t>H. Y. Livesay Middle School</t>
  </si>
  <si>
    <t>475 Hwy 63</t>
  </si>
  <si>
    <t>130_90</t>
  </si>
  <si>
    <t>Midway Elementary</t>
  </si>
  <si>
    <t>4411 Clouds RD</t>
  </si>
  <si>
    <t>New Tazewell</t>
  </si>
  <si>
    <t>Cumberland Gap High School</t>
  </si>
  <si>
    <t>661 Old Jackboro PIKE</t>
  </si>
  <si>
    <t>Cumberland Gap</t>
  </si>
  <si>
    <t>130_95</t>
  </si>
  <si>
    <t>Powell Valley Elementary</t>
  </si>
  <si>
    <t>255 Powell Valley School LN</t>
  </si>
  <si>
    <t>Speedwell</t>
  </si>
  <si>
    <t>130_105</t>
  </si>
  <si>
    <t>Soldiers Memorial Middle School</t>
  </si>
  <si>
    <t>1510 Legion ST</t>
  </si>
  <si>
    <t>Tazewell</t>
  </si>
  <si>
    <t>Claiborne High School</t>
  </si>
  <si>
    <t>815 Davis DR</t>
  </si>
  <si>
    <t>130_115</t>
  </si>
  <si>
    <t>Springdale Elementary</t>
  </si>
  <si>
    <t>1915 Hwy 25E South</t>
  </si>
  <si>
    <t>130_117</t>
  </si>
  <si>
    <t>Tazewell-New Tazewell Elementary</t>
  </si>
  <si>
    <t>501 Davis DR</t>
  </si>
  <si>
    <t>140_5</t>
  </si>
  <si>
    <t>Celina K-8</t>
  </si>
  <si>
    <t>1324 Mitchell ST</t>
  </si>
  <si>
    <t>Celina</t>
  </si>
  <si>
    <t>Clay County High School</t>
  </si>
  <si>
    <t>860 Clay County HWY</t>
  </si>
  <si>
    <t>140_20</t>
  </si>
  <si>
    <t>Hermitage Springs Elementary School</t>
  </si>
  <si>
    <t>17580 Clay County HWY</t>
  </si>
  <si>
    <t>Red Boiling Springs</t>
  </si>
  <si>
    <t>150_5</t>
  </si>
  <si>
    <t>Bridgeport Elementary</t>
  </si>
  <si>
    <t>1935 Edwina Bridgeport RD</t>
  </si>
  <si>
    <t>Newport</t>
  </si>
  <si>
    <t>150_10</t>
  </si>
  <si>
    <t>Centerview Elementary</t>
  </si>
  <si>
    <t>2400 Hwy 160</t>
  </si>
  <si>
    <t>Cocke Co High School</t>
  </si>
  <si>
    <t>216 Hedrick DR</t>
  </si>
  <si>
    <t>150_25</t>
  </si>
  <si>
    <t>Cosby Elementary</t>
  </si>
  <si>
    <t>3320 Cosby HWY</t>
  </si>
  <si>
    <t>Cosby</t>
  </si>
  <si>
    <t>Cosby High School</t>
  </si>
  <si>
    <t>3318 Cosby HWY</t>
  </si>
  <si>
    <t>150_30</t>
  </si>
  <si>
    <t>Del Rio Elementary</t>
  </si>
  <si>
    <t>500 South Highway 107</t>
  </si>
  <si>
    <t>Del Rio</t>
  </si>
  <si>
    <t>150_35</t>
  </si>
  <si>
    <t>Edgemont Elementary</t>
  </si>
  <si>
    <t>375 Carson Springs RD</t>
  </si>
  <si>
    <t>150_40</t>
  </si>
  <si>
    <t>Grassy Fork Elementary</t>
  </si>
  <si>
    <t>4120 Big Creek RD</t>
  </si>
  <si>
    <t>Hartford</t>
  </si>
  <si>
    <t>150_52</t>
  </si>
  <si>
    <t>Northwest Elementary</t>
  </si>
  <si>
    <t>344 Woodson RD</t>
  </si>
  <si>
    <t>150_55</t>
  </si>
  <si>
    <t>Parrottsville Elementary</t>
  </si>
  <si>
    <t>1901 Highway 321</t>
  </si>
  <si>
    <t>Parrottsville</t>
  </si>
  <si>
    <t>150_65</t>
  </si>
  <si>
    <t>Smoky Mountain Elementary</t>
  </si>
  <si>
    <t>135 South 32 HWY</t>
  </si>
  <si>
    <t>151_5</t>
  </si>
  <si>
    <t>Newport Grammar School</t>
  </si>
  <si>
    <t>301 College ST</t>
  </si>
  <si>
    <t>Coffee County Central High School</t>
  </si>
  <si>
    <t>100 Red Raider DR</t>
  </si>
  <si>
    <t>Manchester</t>
  </si>
  <si>
    <t>160_10</t>
  </si>
  <si>
    <t>Coffee County Middle School</t>
  </si>
  <si>
    <t>3063 Woodbury HWY</t>
  </si>
  <si>
    <t>160_15</t>
  </si>
  <si>
    <t>East Coffee Elementary</t>
  </si>
  <si>
    <t>6264 Mcminnville HWY</t>
  </si>
  <si>
    <t>160_20</t>
  </si>
  <si>
    <t>Hickerson Elementary</t>
  </si>
  <si>
    <t>5017 Old Manchester HWY</t>
  </si>
  <si>
    <t>160_25</t>
  </si>
  <si>
    <t>Hillsboro Elementary</t>
  </si>
  <si>
    <t>284 Winchester HWY</t>
  </si>
  <si>
    <t>Hillsboro</t>
  </si>
  <si>
    <t>160_35</t>
  </si>
  <si>
    <t>New Union Elementary</t>
  </si>
  <si>
    <t>3320 Woodbury Hw</t>
  </si>
  <si>
    <t>160_40</t>
  </si>
  <si>
    <t>North Coffee Elementary</t>
  </si>
  <si>
    <t>6790 Murfreesboro HWY</t>
  </si>
  <si>
    <t>160_50</t>
  </si>
  <si>
    <t>Deerfield Elementary School</t>
  </si>
  <si>
    <t>9123 Woodbury HWY</t>
  </si>
  <si>
    <t>160_55</t>
  </si>
  <si>
    <t>Coffee County Raider Academy</t>
  </si>
  <si>
    <t>865 McMinnville HWY</t>
  </si>
  <si>
    <t>161_5</t>
  </si>
  <si>
    <t>College Street Elementary</t>
  </si>
  <si>
    <t>405 College ST</t>
  </si>
  <si>
    <t>161_10</t>
  </si>
  <si>
    <t>Westwood Elementary</t>
  </si>
  <si>
    <t>912 Oakdale ST</t>
  </si>
  <si>
    <t>161_15</t>
  </si>
  <si>
    <t>Westwood Middle School</t>
  </si>
  <si>
    <t>505 Taylor ST</t>
  </si>
  <si>
    <t>162_5</t>
  </si>
  <si>
    <t>Bel Aire Elementary</t>
  </si>
  <si>
    <t>504 Stone Blvd</t>
  </si>
  <si>
    <t>162_15</t>
  </si>
  <si>
    <t>East Middle School</t>
  </si>
  <si>
    <t>908 Country Club DR</t>
  </si>
  <si>
    <t>162_20</t>
  </si>
  <si>
    <t>East Lincoln Elementary</t>
  </si>
  <si>
    <t>700 East Lincoln ST</t>
  </si>
  <si>
    <t>162_23</t>
  </si>
  <si>
    <t>Jack T Farrar Elementary</t>
  </si>
  <si>
    <t>215 Westside DR</t>
  </si>
  <si>
    <t>162_25</t>
  </si>
  <si>
    <t>Robert E Lee Elementary</t>
  </si>
  <si>
    <t>313 Layne ST</t>
  </si>
  <si>
    <t>Tullahoma High School</t>
  </si>
  <si>
    <t>927 North Jackson ST</t>
  </si>
  <si>
    <t>162_40</t>
  </si>
  <si>
    <t>West Middle School</t>
  </si>
  <si>
    <t>90 Hermitage DR</t>
  </si>
  <si>
    <t>Crockett County High School</t>
  </si>
  <si>
    <t>2014 Highway 88</t>
  </si>
  <si>
    <t>Alamo</t>
  </si>
  <si>
    <t>170_12</t>
  </si>
  <si>
    <t>Crockett County Middle School</t>
  </si>
  <si>
    <t>497 North Cavalier DR</t>
  </si>
  <si>
    <t>170_20</t>
  </si>
  <si>
    <t>Friendship Elementary</t>
  </si>
  <si>
    <t>6117 Highway 189</t>
  </si>
  <si>
    <t>Friendship</t>
  </si>
  <si>
    <t>170_25</t>
  </si>
  <si>
    <t>Gadsden Elementary</t>
  </si>
  <si>
    <t>18989 Highway 79</t>
  </si>
  <si>
    <t>Gadsden</t>
  </si>
  <si>
    <t>170_40</t>
  </si>
  <si>
    <t>Maury City Elementary</t>
  </si>
  <si>
    <t>5442 Highway 88</t>
  </si>
  <si>
    <t>Maury City</t>
  </si>
  <si>
    <t>171_5</t>
  </si>
  <si>
    <t>Alamo Elementary</t>
  </si>
  <si>
    <t>265 E Park ST</t>
  </si>
  <si>
    <t>172_5</t>
  </si>
  <si>
    <t>Bells Elementary</t>
  </si>
  <si>
    <t>4547 Highway 88 South</t>
  </si>
  <si>
    <t>Bells</t>
  </si>
  <si>
    <t>180_8</t>
  </si>
  <si>
    <t>Frank P. Brown Elementary</t>
  </si>
  <si>
    <t>3766 Dunbar RD</t>
  </si>
  <si>
    <t>Crossville</t>
  </si>
  <si>
    <t>180_10</t>
  </si>
  <si>
    <t>Homestead Elementary School</t>
  </si>
  <si>
    <t>3889 Highway 127 South</t>
  </si>
  <si>
    <t>180_15</t>
  </si>
  <si>
    <t>Crab Orchard Elementary</t>
  </si>
  <si>
    <t>240 School RD</t>
  </si>
  <si>
    <t>Crab Orchard</t>
  </si>
  <si>
    <t>Cumberland County High School</t>
  </si>
  <si>
    <t>660 Stanley ST</t>
  </si>
  <si>
    <t>180_33</t>
  </si>
  <si>
    <t>Glenn Martin Elementary</t>
  </si>
  <si>
    <t>1362 Miller AVE</t>
  </si>
  <si>
    <t>180_53</t>
  </si>
  <si>
    <t>North Cumberland Elementary</t>
  </si>
  <si>
    <t>7657 Hwy 127 North</t>
  </si>
  <si>
    <t>180_55</t>
  </si>
  <si>
    <t>Pine View Elementary</t>
  </si>
  <si>
    <t>349 Daysville RD</t>
  </si>
  <si>
    <t>Rockwood</t>
  </si>
  <si>
    <t>180_60</t>
  </si>
  <si>
    <t>Pleasant Hill Elementary</t>
  </si>
  <si>
    <t>486 Main ST</t>
  </si>
  <si>
    <t>Pleasant Hill</t>
  </si>
  <si>
    <t>180_73</t>
  </si>
  <si>
    <t>South Cumberland Elementary</t>
  </si>
  <si>
    <t>3536 Lantana RD</t>
  </si>
  <si>
    <t>180_74</t>
  </si>
  <si>
    <t>Stone Elementary</t>
  </si>
  <si>
    <t>1219 Cook RD</t>
  </si>
  <si>
    <t>Stone Memorial High School</t>
  </si>
  <si>
    <t>2800 Cook RD</t>
  </si>
  <si>
    <t>The Phoenix School</t>
  </si>
  <si>
    <t>203 Taylor ST</t>
  </si>
  <si>
    <t>190_1</t>
  </si>
  <si>
    <t>A. Z. Kelley Elementary</t>
  </si>
  <si>
    <t>5834 Pettus RD</t>
  </si>
  <si>
    <t>Antioch</t>
  </si>
  <si>
    <t>MNPS Virtual School</t>
  </si>
  <si>
    <t>4805 Park AVE, Suite 300</t>
  </si>
  <si>
    <t>Nashville</t>
  </si>
  <si>
    <t>190_5</t>
  </si>
  <si>
    <t>Alex Green Elementary</t>
  </si>
  <si>
    <t>3921 Lloyd RD</t>
  </si>
  <si>
    <t>Whites Creek</t>
  </si>
  <si>
    <t>190_10</t>
  </si>
  <si>
    <t>Amqui Elementary</t>
  </si>
  <si>
    <t>319 Anderson LN</t>
  </si>
  <si>
    <t>Madison</t>
  </si>
  <si>
    <t>190_15</t>
  </si>
  <si>
    <t>Andrew Jackson Elementary</t>
  </si>
  <si>
    <t>110 Shute LN</t>
  </si>
  <si>
    <t>Old Hickory</t>
  </si>
  <si>
    <t>Antioch High School</t>
  </si>
  <si>
    <t>1900 Hobson PIKE</t>
  </si>
  <si>
    <t>190_23</t>
  </si>
  <si>
    <t>Antioch Middle</t>
  </si>
  <si>
    <t>5050 Blue Hole RD</t>
  </si>
  <si>
    <t>190_25</t>
  </si>
  <si>
    <t>Apollo Middle</t>
  </si>
  <si>
    <t>631 Richards RD</t>
  </si>
  <si>
    <t>190_35</t>
  </si>
  <si>
    <t>Moses McKissack Middle</t>
  </si>
  <si>
    <t>915 38th Ave N</t>
  </si>
  <si>
    <t>190_40</t>
  </si>
  <si>
    <t>Bellevue Middle</t>
  </si>
  <si>
    <t>655 Colice Jeanne RD</t>
  </si>
  <si>
    <t>190_45</t>
  </si>
  <si>
    <t>Bellshire Elementary</t>
  </si>
  <si>
    <t>1128 Bell Grimes LN</t>
  </si>
  <si>
    <t>Nashville Big Picture High School</t>
  </si>
  <si>
    <t>160 Rural AVE</t>
  </si>
  <si>
    <t>190_70</t>
  </si>
  <si>
    <t>Buena Vista Elementary</t>
  </si>
  <si>
    <t>1531 9th Avenue North</t>
  </si>
  <si>
    <t>Cane Ridge High School</t>
  </si>
  <si>
    <t>12848 Old Hickory BLVD</t>
  </si>
  <si>
    <t>190_80</t>
  </si>
  <si>
    <t>Caldwell Elementary</t>
  </si>
  <si>
    <t>244 Foster ST</t>
  </si>
  <si>
    <t>190_82</t>
  </si>
  <si>
    <t>Cane Ridge Elementary</t>
  </si>
  <si>
    <t>3884 Asheford Trace</t>
  </si>
  <si>
    <t>190_105</t>
  </si>
  <si>
    <t>Chadwell Elementary</t>
  </si>
  <si>
    <t>321 Port DR</t>
  </si>
  <si>
    <t>190_110</t>
  </si>
  <si>
    <t>Charlotte Park Elementary</t>
  </si>
  <si>
    <t>480 Annex AVE</t>
  </si>
  <si>
    <t>190_120</t>
  </si>
  <si>
    <t>Cockrill Elementary</t>
  </si>
  <si>
    <t>4701 Indiana AVE</t>
  </si>
  <si>
    <t>190_130</t>
  </si>
  <si>
    <t>Cole Elementary</t>
  </si>
  <si>
    <t>5060 Colemont DR</t>
  </si>
  <si>
    <t>190_140</t>
  </si>
  <si>
    <t>Hattie Cotton Elementary</t>
  </si>
  <si>
    <t>1033 West Greenwood AVE</t>
  </si>
  <si>
    <t>190_145</t>
  </si>
  <si>
    <t>Crieve Hall Elementary</t>
  </si>
  <si>
    <t>498 Hogan RD</t>
  </si>
  <si>
    <t>190_148</t>
  </si>
  <si>
    <t>Croft Middle</t>
  </si>
  <si>
    <t>482 Elysian Fields DR</t>
  </si>
  <si>
    <t>190_150</t>
  </si>
  <si>
    <t>Cumberland Elementary</t>
  </si>
  <si>
    <t>4247 Cato RD</t>
  </si>
  <si>
    <t>190_160</t>
  </si>
  <si>
    <t>Dan Mills Elementary</t>
  </si>
  <si>
    <t>4106 Kennedy AVE</t>
  </si>
  <si>
    <t>190_165</t>
  </si>
  <si>
    <t>Dodson Elementary</t>
  </si>
  <si>
    <t>4401 Chandler RD</t>
  </si>
  <si>
    <t>Hermitage</t>
  </si>
  <si>
    <t>190_175</t>
  </si>
  <si>
    <t>Donelson Middle</t>
  </si>
  <si>
    <t>110 Stewarts Ferry PIKE</t>
  </si>
  <si>
    <t>190_180</t>
  </si>
  <si>
    <t>DuPont Elementary</t>
  </si>
  <si>
    <t>1311 9th ST</t>
  </si>
  <si>
    <t>190_185</t>
  </si>
  <si>
    <t>DuPont Tyler Middle</t>
  </si>
  <si>
    <t>431 Tyler DR</t>
  </si>
  <si>
    <t>190_190</t>
  </si>
  <si>
    <t>DuPont Hadley Middle</t>
  </si>
  <si>
    <t>1901 Old Hickory BLVD</t>
  </si>
  <si>
    <t>190_195</t>
  </si>
  <si>
    <t>2500 Fairfax AVE</t>
  </si>
  <si>
    <t>East Nashville Magnet High School</t>
  </si>
  <si>
    <t>110 Gallatin RD</t>
  </si>
  <si>
    <t>190_208</t>
  </si>
  <si>
    <t>Thomas A. Edison Elementary</t>
  </si>
  <si>
    <t>6130 Mt. View RD</t>
  </si>
  <si>
    <t>190_220</t>
  </si>
  <si>
    <t>Fall-Hamilton Elementary</t>
  </si>
  <si>
    <t>510 Wedgewood AVE</t>
  </si>
  <si>
    <t>190_235</t>
  </si>
  <si>
    <t>Gateway Elementary</t>
  </si>
  <si>
    <t>1524 Monticello AVE</t>
  </si>
  <si>
    <t>190_240</t>
  </si>
  <si>
    <t>Glencliff Elementary</t>
  </si>
  <si>
    <t>120 Antioch PIKE</t>
  </si>
  <si>
    <t>Glencliff High School</t>
  </si>
  <si>
    <t>160 Antioch PIKE</t>
  </si>
  <si>
    <t>190_250</t>
  </si>
  <si>
    <t>Glendale Elementary</t>
  </si>
  <si>
    <t>800 Thompson AVE</t>
  </si>
  <si>
    <t>190_255</t>
  </si>
  <si>
    <t>Glengarry Elementary</t>
  </si>
  <si>
    <t>200 Finley DR</t>
  </si>
  <si>
    <t>190_260</t>
  </si>
  <si>
    <t>Glenn Elementary</t>
  </si>
  <si>
    <t>322 Cleveland ST</t>
  </si>
  <si>
    <t>190_265</t>
  </si>
  <si>
    <t>Glenview Elementary</t>
  </si>
  <si>
    <t>1020 Patricia DR</t>
  </si>
  <si>
    <t>190_270</t>
  </si>
  <si>
    <t>Goodlettsville Elementary</t>
  </si>
  <si>
    <t>514 Donald ST</t>
  </si>
  <si>
    <t>Goodlettsville</t>
  </si>
  <si>
    <t>190_275</t>
  </si>
  <si>
    <t>Goodlettsville Middle</t>
  </si>
  <si>
    <t>300 South Main ST</t>
  </si>
  <si>
    <t>190_280</t>
  </si>
  <si>
    <t>Gower Elementary</t>
  </si>
  <si>
    <t>650 Old Hickory BLVD</t>
  </si>
  <si>
    <t>190_285</t>
  </si>
  <si>
    <t>Gra-Mar Middle</t>
  </si>
  <si>
    <t>575 Joyce LN</t>
  </si>
  <si>
    <t>190_290</t>
  </si>
  <si>
    <t>Granbery Elementary</t>
  </si>
  <si>
    <t>5501 Hill RD</t>
  </si>
  <si>
    <t>Brentwood</t>
  </si>
  <si>
    <t>190_295</t>
  </si>
  <si>
    <t>H. G. Hill Middle</t>
  </si>
  <si>
    <t>150 Davidson RD</t>
  </si>
  <si>
    <t>190_296</t>
  </si>
  <si>
    <t>East Nashville Middle</t>
  </si>
  <si>
    <t>2000 Greenwood AVE</t>
  </si>
  <si>
    <t>190_300</t>
  </si>
  <si>
    <t>Harpeth Valley Elementary</t>
  </si>
  <si>
    <t>7840 Learning LN</t>
  </si>
  <si>
    <t>Harris-Hillman Special Education</t>
  </si>
  <si>
    <t>1706 26th Avenue South</t>
  </si>
  <si>
    <t>190_305</t>
  </si>
  <si>
    <t>Haynes Middle</t>
  </si>
  <si>
    <t>510 West Trinity LN</t>
  </si>
  <si>
    <t>190_310</t>
  </si>
  <si>
    <t>Haywood Elementary</t>
  </si>
  <si>
    <t>3790 Turley DR</t>
  </si>
  <si>
    <t>190_315</t>
  </si>
  <si>
    <t>Head Middle</t>
  </si>
  <si>
    <t>1830 Jo Johnston AVE</t>
  </si>
  <si>
    <t>190_318</t>
  </si>
  <si>
    <t>Henry C. Maxwell Elementary</t>
  </si>
  <si>
    <t>5535 Blue Hole RD</t>
  </si>
  <si>
    <t>190_320</t>
  </si>
  <si>
    <t>Hermitage Elementary</t>
  </si>
  <si>
    <t>3800 Plantation DR</t>
  </si>
  <si>
    <t>190_327</t>
  </si>
  <si>
    <t>Hickman Elementary</t>
  </si>
  <si>
    <t>112 Stewarts Ferry PIKE</t>
  </si>
  <si>
    <t>190_330</t>
  </si>
  <si>
    <t>Meigs Middle</t>
  </si>
  <si>
    <t>713 Ramsey ST</t>
  </si>
  <si>
    <t>Hillsboro High</t>
  </si>
  <si>
    <t>3812 Hillsboro RD</t>
  </si>
  <si>
    <t>Hillwood High</t>
  </si>
  <si>
    <t>400 Davidson RD</t>
  </si>
  <si>
    <t>190_350</t>
  </si>
  <si>
    <t>Hull-Jackson Elementary</t>
  </si>
  <si>
    <t>1015 Kellow ST</t>
  </si>
  <si>
    <t>Hume - Fogg High</t>
  </si>
  <si>
    <t>700 Broadway</t>
  </si>
  <si>
    <t>Hunters Lane High</t>
  </si>
  <si>
    <t>1150 Hunters LN</t>
  </si>
  <si>
    <t>190_360</t>
  </si>
  <si>
    <t>Inglewood Elementary</t>
  </si>
  <si>
    <t>1700 Riverside DR</t>
  </si>
  <si>
    <t>190_365</t>
  </si>
  <si>
    <t>Isaac Litton Middle</t>
  </si>
  <si>
    <t>4601 Hedgewood DR</t>
  </si>
  <si>
    <t>190_370</t>
  </si>
  <si>
    <t>J. E. Moss Elementary</t>
  </si>
  <si>
    <t>4701 Bowfield DR</t>
  </si>
  <si>
    <t>190_375</t>
  </si>
  <si>
    <t>Jere Baxter Middle</t>
  </si>
  <si>
    <t>350 Hart LN</t>
  </si>
  <si>
    <t>190_380</t>
  </si>
  <si>
    <t>Joelton Elementary</t>
  </si>
  <si>
    <t>7141 Whites Creek PIKE</t>
  </si>
  <si>
    <t>Joelton</t>
  </si>
  <si>
    <t>190_385</t>
  </si>
  <si>
    <t>Joelton Middle</t>
  </si>
  <si>
    <t>3500 Old Clarksville PIKE</t>
  </si>
  <si>
    <t>190_386</t>
  </si>
  <si>
    <t>John Early Middle</t>
  </si>
  <si>
    <t>1000 Cass ST</t>
  </si>
  <si>
    <t>190_387</t>
  </si>
  <si>
    <t>Jones Elementary</t>
  </si>
  <si>
    <t>1800 9th AVE</t>
  </si>
  <si>
    <t>190_390</t>
  </si>
  <si>
    <t>John B. Whitsitt Elementary</t>
  </si>
  <si>
    <t>110 Whitsett RD</t>
  </si>
  <si>
    <t>190_393</t>
  </si>
  <si>
    <t>John F. Kennedy Middle</t>
  </si>
  <si>
    <t>2087 Hobson PIKE</t>
  </si>
  <si>
    <t>John Overton High</t>
  </si>
  <si>
    <t>4820 Franklin RD</t>
  </si>
  <si>
    <t>190_415</t>
  </si>
  <si>
    <t>Julia Green Elementary</t>
  </si>
  <si>
    <t>3500 Hobbs RD</t>
  </si>
  <si>
    <t>190_420</t>
  </si>
  <si>
    <t>Robert E. Lilliard Elementary</t>
  </si>
  <si>
    <t>3200 Kings LN</t>
  </si>
  <si>
    <t>190_430</t>
  </si>
  <si>
    <t>Lakeview Elementary</t>
  </si>
  <si>
    <t>455 Rural Hill RD</t>
  </si>
  <si>
    <t>190_435</t>
  </si>
  <si>
    <t>Lockeland Elementary</t>
  </si>
  <si>
    <t>105 South 17th ST</t>
  </si>
  <si>
    <t>Middle College High</t>
  </si>
  <si>
    <t>120 White Bridge RD</t>
  </si>
  <si>
    <t>Cora Howe School</t>
  </si>
  <si>
    <t>1928 Greenwood AVE</t>
  </si>
  <si>
    <t>Maplewood High</t>
  </si>
  <si>
    <t>401 Walton LN</t>
  </si>
  <si>
    <t>190_450</t>
  </si>
  <si>
    <t>Margaret Allen Middle</t>
  </si>
  <si>
    <t>500 Spence LN</t>
  </si>
  <si>
    <t>Martin Luther King Jr School</t>
  </si>
  <si>
    <t>613 17th Avenue North</t>
  </si>
  <si>
    <t>190_465</t>
  </si>
  <si>
    <t>McGavock Elementary</t>
  </si>
  <si>
    <t>275 McGavock PIKE</t>
  </si>
  <si>
    <t>McGavock High</t>
  </si>
  <si>
    <t>3150 McGavock PIKE</t>
  </si>
  <si>
    <t>190_480</t>
  </si>
  <si>
    <t>McMurray Middle</t>
  </si>
  <si>
    <t>520 McMurray DR</t>
  </si>
  <si>
    <t>190_490</t>
  </si>
  <si>
    <t>John Trotwood Moore Middle</t>
  </si>
  <si>
    <t>4425 Granny White PIKE</t>
  </si>
  <si>
    <t>190_493</t>
  </si>
  <si>
    <t>Mt. View Elementary</t>
  </si>
  <si>
    <t>3820 Murfreesboro RD</t>
  </si>
  <si>
    <t>190_505</t>
  </si>
  <si>
    <t>Murrell School</t>
  </si>
  <si>
    <t>1450 14th Avenue South</t>
  </si>
  <si>
    <t>190_510</t>
  </si>
  <si>
    <t>Napier Elementary</t>
  </si>
  <si>
    <t>60 Fairfield AVE</t>
  </si>
  <si>
    <t>Nashville School Of The Arts</t>
  </si>
  <si>
    <t>1250 Foster AVE</t>
  </si>
  <si>
    <t>190_515</t>
  </si>
  <si>
    <t>Neely's Bend Elementary</t>
  </si>
  <si>
    <t>1300 Neely's Bend RD</t>
  </si>
  <si>
    <t>190_525</t>
  </si>
  <si>
    <t>Norman Binkley Elementary</t>
  </si>
  <si>
    <t>4700 West Longdale DR</t>
  </si>
  <si>
    <t>190_535</t>
  </si>
  <si>
    <t>Old Center Elementary</t>
  </si>
  <si>
    <t>1245 Dickerson Pike South</t>
  </si>
  <si>
    <t>190_538</t>
  </si>
  <si>
    <t>William Henry Oliver Middle</t>
  </si>
  <si>
    <t>6211 Nolensville RD</t>
  </si>
  <si>
    <t>190_540</t>
  </si>
  <si>
    <t>Paragon Mills Elementary</t>
  </si>
  <si>
    <t>260 Paragon Mills RD</t>
  </si>
  <si>
    <t>190_545</t>
  </si>
  <si>
    <t>Park Avenue Elementary</t>
  </si>
  <si>
    <t>3703 Park AVE</t>
  </si>
  <si>
    <t>Pearl-Cohn High</t>
  </si>
  <si>
    <t>904 26th Avenue North</t>
  </si>
  <si>
    <t>190_565</t>
  </si>
  <si>
    <t>Pennington Elementary</t>
  </si>
  <si>
    <t>2817 Donna Hill DR</t>
  </si>
  <si>
    <t>190_570</t>
  </si>
  <si>
    <t>Percy Priest Elementary</t>
  </si>
  <si>
    <t>1700 Otter Creek RD</t>
  </si>
  <si>
    <t>190_595</t>
  </si>
  <si>
    <t>Rose Park Middle</t>
  </si>
  <si>
    <t>1025 9th Avenue South</t>
  </si>
  <si>
    <t>190_600</t>
  </si>
  <si>
    <t>Rosebank Elementary</t>
  </si>
  <si>
    <t>1012 Preston DR</t>
  </si>
  <si>
    <t>190_607</t>
  </si>
  <si>
    <t>Ruby Major Elementary</t>
  </si>
  <si>
    <t>5141 John Hager RD</t>
  </si>
  <si>
    <t>190_608</t>
  </si>
  <si>
    <t>May Werthan Shayne Elementary School</t>
  </si>
  <si>
    <t>6217 Nolensville RD</t>
  </si>
  <si>
    <t>190_610</t>
  </si>
  <si>
    <t>Shwab Elementary</t>
  </si>
  <si>
    <t>1500 Dickerson RD</t>
  </si>
  <si>
    <t>The Academy at Opry Mills</t>
  </si>
  <si>
    <t>433 Opry Mills DR</t>
  </si>
  <si>
    <t>The Academy at Old Cockrill</t>
  </si>
  <si>
    <t>610 49th AVE</t>
  </si>
  <si>
    <t>190_615</t>
  </si>
  <si>
    <t>Stanford Elementary</t>
  </si>
  <si>
    <t>2417 Maplecrest DR</t>
  </si>
  <si>
    <t>190_618</t>
  </si>
  <si>
    <t>Robert Churchwell Elementary</t>
  </si>
  <si>
    <t>1625 Dr. D. B. Todd Jr. BLVD</t>
  </si>
  <si>
    <t>Stratford STEM Magnet School</t>
  </si>
  <si>
    <t>1800 Stratford AVE</t>
  </si>
  <si>
    <t>190_622</t>
  </si>
  <si>
    <t>Madison Middle</t>
  </si>
  <si>
    <t>300 W Old Hickory BLVD</t>
  </si>
  <si>
    <t>190_625</t>
  </si>
  <si>
    <t>Stratton Elementary</t>
  </si>
  <si>
    <t>310 Old Hickory Blvd. West</t>
  </si>
  <si>
    <t>190_630</t>
  </si>
  <si>
    <t>Sylvan Park Elementary</t>
  </si>
  <si>
    <t>4801 Utah AVE</t>
  </si>
  <si>
    <t>190_633</t>
  </si>
  <si>
    <t>Thurgood Marshall Middle</t>
  </si>
  <si>
    <t>5820 Pettus RD</t>
  </si>
  <si>
    <t>190_635</t>
  </si>
  <si>
    <t>Tom Joy Elementary</t>
  </si>
  <si>
    <t>2201 Jones AVE</t>
  </si>
  <si>
    <t>190_637</t>
  </si>
  <si>
    <t>Tulip Grove Elementary</t>
  </si>
  <si>
    <t>441 Tyler DR</t>
  </si>
  <si>
    <t>190_645</t>
  </si>
  <si>
    <t>Tusculum Elementary</t>
  </si>
  <si>
    <t>440 McMurray DR</t>
  </si>
  <si>
    <t>190_650</t>
  </si>
  <si>
    <t>Two Rivers Middle</t>
  </si>
  <si>
    <t>2991 McGavock PIKE</t>
  </si>
  <si>
    <t>190_655</t>
  </si>
  <si>
    <t>Una Elementary</t>
  </si>
  <si>
    <t>2018 Murfreesboro RD</t>
  </si>
  <si>
    <t>190_670</t>
  </si>
  <si>
    <t>Carter-Lawrence Elementary</t>
  </si>
  <si>
    <t>1118 12th Avenue South</t>
  </si>
  <si>
    <t>190_675</t>
  </si>
  <si>
    <t>Warner Elementary</t>
  </si>
  <si>
    <t>626 Russell ST</t>
  </si>
  <si>
    <t>190_690</t>
  </si>
  <si>
    <t>West End Middle</t>
  </si>
  <si>
    <t>3529 West End AVE</t>
  </si>
  <si>
    <t>190_695</t>
  </si>
  <si>
    <t>Westmeade Elementary</t>
  </si>
  <si>
    <t>6641 Clearbrook DR</t>
  </si>
  <si>
    <t>190_700</t>
  </si>
  <si>
    <t>Creswell Middle School of the Arts</t>
  </si>
  <si>
    <t>3500 John Mallette DR</t>
  </si>
  <si>
    <t>Whites Creek High</t>
  </si>
  <si>
    <t>7277 Old Hickory BLVD</t>
  </si>
  <si>
    <t>190_715</t>
  </si>
  <si>
    <t>Wright Middle</t>
  </si>
  <si>
    <t>180 McCall ST</t>
  </si>
  <si>
    <t>The Academy at Hickory Hollow</t>
  </si>
  <si>
    <t>5248 Hickory Hollow PKWY</t>
  </si>
  <si>
    <t>Johnson Alternative Learning Center</t>
  </si>
  <si>
    <t>1200 2nd Ave South</t>
  </si>
  <si>
    <t>190_745</t>
  </si>
  <si>
    <t>The Cohn Learning Center</t>
  </si>
  <si>
    <t>4805 Park AVE</t>
  </si>
  <si>
    <t>190_750</t>
  </si>
  <si>
    <t>Smith Springs Elementary School</t>
  </si>
  <si>
    <t>3132 Smith Springs RD</t>
  </si>
  <si>
    <t>190_755</t>
  </si>
  <si>
    <t>Waverly-Belmont Elementary School</t>
  </si>
  <si>
    <t>2301 10th Ave South</t>
  </si>
  <si>
    <t>190_8001</t>
  </si>
  <si>
    <t>Smithson Craighead Academy</t>
  </si>
  <si>
    <t>Public Charter</t>
  </si>
  <si>
    <t>730 Neely's Bend RD</t>
  </si>
  <si>
    <t>Y</t>
  </si>
  <si>
    <t>190_8002</t>
  </si>
  <si>
    <t>KIPP Academy Nashville</t>
  </si>
  <si>
    <t>123 Douglas AVE</t>
  </si>
  <si>
    <t>Lead Academy</t>
  </si>
  <si>
    <t>1035 1st Ave South , LEAD College Prep Building</t>
  </si>
  <si>
    <t>190_8004</t>
  </si>
  <si>
    <t>New Vision Academy</t>
  </si>
  <si>
    <t>297 Plus Park BLVD</t>
  </si>
  <si>
    <t>190_8005</t>
  </si>
  <si>
    <t>Liberty Collegiate Academy</t>
  </si>
  <si>
    <t>3515 Gallatin RD</t>
  </si>
  <si>
    <t>190_8006</t>
  </si>
  <si>
    <t>STEM Prep Academy</t>
  </si>
  <si>
    <t>1162 Foster AVE</t>
  </si>
  <si>
    <t>190_8008</t>
  </si>
  <si>
    <t>Nashville Prep</t>
  </si>
  <si>
    <t>1300 56th Ave N</t>
  </si>
  <si>
    <t>190_8009</t>
  </si>
  <si>
    <t>East End Preparatory School</t>
  </si>
  <si>
    <t>1460 McGavock PIKE</t>
  </si>
  <si>
    <t>190_8010</t>
  </si>
  <si>
    <t>Cameron College Preparatory</t>
  </si>
  <si>
    <t>1034 1st Avenue South</t>
  </si>
  <si>
    <t>KIPP Nashville Collegiate High School</t>
  </si>
  <si>
    <t>190_8012</t>
  </si>
  <si>
    <t>Knowledge Academy</t>
  </si>
  <si>
    <t>5320 Hickory Hollow PKWY</t>
  </si>
  <si>
    <t>190_8013</t>
  </si>
  <si>
    <t>LEAD Prep Southeast</t>
  </si>
  <si>
    <t>531 Metroplex DR</t>
  </si>
  <si>
    <t>190_8042</t>
  </si>
  <si>
    <t>KIPP Nashville College Prep</t>
  </si>
  <si>
    <t>3410 Knight RD</t>
  </si>
  <si>
    <t>190_8044</t>
  </si>
  <si>
    <t>Nashville Classical</t>
  </si>
  <si>
    <t>1310 Ordway</t>
  </si>
  <si>
    <t>190_8045</t>
  </si>
  <si>
    <t>Valor Flagship Academy</t>
  </si>
  <si>
    <t>4527 Nollensville RD</t>
  </si>
  <si>
    <t>190_8046</t>
  </si>
  <si>
    <t>Purpose Prep</t>
  </si>
  <si>
    <t>220 Venture CIR</t>
  </si>
  <si>
    <t>190_8048</t>
  </si>
  <si>
    <t>Intrepid College Preparatory Charter School</t>
  </si>
  <si>
    <t>5432 Bell Forge Lane East</t>
  </si>
  <si>
    <t>190_8050</t>
  </si>
  <si>
    <t>Rocketship Nashville Northeast Elementary</t>
  </si>
  <si>
    <t>2526 Dickerson RD</t>
  </si>
  <si>
    <t>190_8055</t>
  </si>
  <si>
    <t>Nashville Academy of Computer Science</t>
  </si>
  <si>
    <t>3307 Brick Church PIKE</t>
  </si>
  <si>
    <t>190_8060</t>
  </si>
  <si>
    <t>Explore Community School</t>
  </si>
  <si>
    <t>217 South 10th ST</t>
  </si>
  <si>
    <t>NAShville</t>
  </si>
  <si>
    <t>190_8065</t>
  </si>
  <si>
    <t>Knowledge Academies High School</t>
  </si>
  <si>
    <t>190_8070</t>
  </si>
  <si>
    <t>Rocketship United</t>
  </si>
  <si>
    <t>320 Plus Park BLVD</t>
  </si>
  <si>
    <t>190_8075</t>
  </si>
  <si>
    <t>STEM Prep High School</t>
  </si>
  <si>
    <t>1162 foster AVE</t>
  </si>
  <si>
    <t>190_8080</t>
  </si>
  <si>
    <t>Valor Voyager Academy</t>
  </si>
  <si>
    <t>4527 Nolensville RD</t>
  </si>
  <si>
    <t>190_8085</t>
  </si>
  <si>
    <t>KIPP Nashville College Prep Elementary</t>
  </si>
  <si>
    <t>190_8090</t>
  </si>
  <si>
    <t>Strive Collegiate Academy</t>
  </si>
  <si>
    <t>3055 Lebanon RD, Suite 300</t>
  </si>
  <si>
    <t>190_8095</t>
  </si>
  <si>
    <t>KIPP Academy Nashville Elementary School</t>
  </si>
  <si>
    <t>1000 Sevier ST</t>
  </si>
  <si>
    <t>190_8100</t>
  </si>
  <si>
    <t>RePublic High School</t>
  </si>
  <si>
    <t>190_8105</t>
  </si>
  <si>
    <t>KA @ The Crossings</t>
  </si>
  <si>
    <t>Riverside High School</t>
  </si>
  <si>
    <t>4250 Highway 641 South</t>
  </si>
  <si>
    <t>Decaturville</t>
  </si>
  <si>
    <t>200_5</t>
  </si>
  <si>
    <t>Decaturville Elementary</t>
  </si>
  <si>
    <t>820 South West ST</t>
  </si>
  <si>
    <t>200_10</t>
  </si>
  <si>
    <t>Parsons Elementary</t>
  </si>
  <si>
    <t>182 West 4th ST</t>
  </si>
  <si>
    <t>Parsons</t>
  </si>
  <si>
    <t>200_20</t>
  </si>
  <si>
    <t>Decatur County Middle School</t>
  </si>
  <si>
    <t>2740 Hwy 641 South</t>
  </si>
  <si>
    <t>De Kalb County High School</t>
  </si>
  <si>
    <t>1130 West Broad ST</t>
  </si>
  <si>
    <t>Smithville</t>
  </si>
  <si>
    <t>210_37</t>
  </si>
  <si>
    <t>DeKalb Middle School</t>
  </si>
  <si>
    <t>1132 West Broad ST</t>
  </si>
  <si>
    <t>210_40</t>
  </si>
  <si>
    <t>Northside Elementary</t>
  </si>
  <si>
    <t>400 North Congress BLVD</t>
  </si>
  <si>
    <t>210_45</t>
  </si>
  <si>
    <t>Smithville Elementary</t>
  </si>
  <si>
    <t>221 E Bryant ST</t>
  </si>
  <si>
    <t>210_50</t>
  </si>
  <si>
    <t>DeKalb West Elementary</t>
  </si>
  <si>
    <t>101 Bulldog LN</t>
  </si>
  <si>
    <t>Liberty</t>
  </si>
  <si>
    <t>220_5</t>
  </si>
  <si>
    <t>Stuart Burns Elementary</t>
  </si>
  <si>
    <t>3201 Highway 96</t>
  </si>
  <si>
    <t>Burns</t>
  </si>
  <si>
    <t>220_7</t>
  </si>
  <si>
    <t>Charlotte Elementary</t>
  </si>
  <si>
    <t>200 Humphries ST</t>
  </si>
  <si>
    <t>Charlotte</t>
  </si>
  <si>
    <t>220_8</t>
  </si>
  <si>
    <t>Centennial Elementary</t>
  </si>
  <si>
    <t>198 Upper Lake DR</t>
  </si>
  <si>
    <t>Dickson</t>
  </si>
  <si>
    <t>220_10</t>
  </si>
  <si>
    <t>New Directions Academy</t>
  </si>
  <si>
    <t>4000 Highway 48 North</t>
  </si>
  <si>
    <t>220_15</t>
  </si>
  <si>
    <t>Charlotte Middle School</t>
  </si>
  <si>
    <t>250 Humphries ST</t>
  </si>
  <si>
    <t>Creek Wood High School</t>
  </si>
  <si>
    <t>3499 Highway 47 North</t>
  </si>
  <si>
    <t>220_20</t>
  </si>
  <si>
    <t>Dickson Elementary</t>
  </si>
  <si>
    <t>120 W Broad ST</t>
  </si>
  <si>
    <t>220_23</t>
  </si>
  <si>
    <t>Dickson Middle School</t>
  </si>
  <si>
    <t>401 E College ST</t>
  </si>
  <si>
    <t>Dickson County High School</t>
  </si>
  <si>
    <t>509 Henslee DR</t>
  </si>
  <si>
    <t>220_28</t>
  </si>
  <si>
    <t>The Discovery School</t>
  </si>
  <si>
    <t>101 Henslee DR</t>
  </si>
  <si>
    <t>220_30</t>
  </si>
  <si>
    <t>Oakmont Elementary</t>
  </si>
  <si>
    <t>630 Hwy 46 South</t>
  </si>
  <si>
    <t>220_37</t>
  </si>
  <si>
    <t>Dickson Intermediate School</t>
  </si>
  <si>
    <t>507 Henslee DR</t>
  </si>
  <si>
    <t>220_40</t>
  </si>
  <si>
    <t>Vanleer Elementary</t>
  </si>
  <si>
    <t>4456 Highway 49 West</t>
  </si>
  <si>
    <t>Vanleer</t>
  </si>
  <si>
    <t>220_44</t>
  </si>
  <si>
    <t>White Bluff Elementary</t>
  </si>
  <si>
    <t>377 School RD</t>
  </si>
  <si>
    <t>White Bluff</t>
  </si>
  <si>
    <t>220_50</t>
  </si>
  <si>
    <t>W James Middle School</t>
  </si>
  <si>
    <t>3030 Trace Creek RD</t>
  </si>
  <si>
    <t>230_15</t>
  </si>
  <si>
    <t>Northview Middle School</t>
  </si>
  <si>
    <t>820 Williams ST</t>
  </si>
  <si>
    <t>Newbern</t>
  </si>
  <si>
    <t>Dyer County High School</t>
  </si>
  <si>
    <t>1000 West Main ST</t>
  </si>
  <si>
    <t>230_20</t>
  </si>
  <si>
    <t>Fifth Consolidated School</t>
  </si>
  <si>
    <t>2150 Millsfield HWY</t>
  </si>
  <si>
    <t>230_25</t>
  </si>
  <si>
    <t>Finley Elementary</t>
  </si>
  <si>
    <t>72 Poplar Street</t>
  </si>
  <si>
    <t>Finley</t>
  </si>
  <si>
    <t>230_30</t>
  </si>
  <si>
    <t>Holice Powell Elementary</t>
  </si>
  <si>
    <t>988 Highway 210 South</t>
  </si>
  <si>
    <t>230_35</t>
  </si>
  <si>
    <t>Newbern Elementary School</t>
  </si>
  <si>
    <t>401 North York ST</t>
  </si>
  <si>
    <t>230_43</t>
  </si>
  <si>
    <t>Three Oaks Middle School</t>
  </si>
  <si>
    <t>3200 Upper Finley ST</t>
  </si>
  <si>
    <t>230_45</t>
  </si>
  <si>
    <t>Trimble Elementary</t>
  </si>
  <si>
    <t>256 College ST</t>
  </si>
  <si>
    <t>Trimble</t>
  </si>
  <si>
    <t>231_12</t>
  </si>
  <si>
    <t>Dyersburg Intermediate School</t>
  </si>
  <si>
    <t>725 Tibbs ST</t>
  </si>
  <si>
    <t>Dyersburg High School</t>
  </si>
  <si>
    <t>125 Highway 51 By- Pass West</t>
  </si>
  <si>
    <t>231_21</t>
  </si>
  <si>
    <t>Dyersburg Middle School</t>
  </si>
  <si>
    <t>400 Frank Maynard DR</t>
  </si>
  <si>
    <t>231_25</t>
  </si>
  <si>
    <t>Dyersburg Primary</t>
  </si>
  <si>
    <t>1425 Frank Maynard DR</t>
  </si>
  <si>
    <t>240_18</t>
  </si>
  <si>
    <t>East Jr. High School</t>
  </si>
  <si>
    <t>400 Leach RD</t>
  </si>
  <si>
    <t>Somerville</t>
  </si>
  <si>
    <t>Fayette Ware Comprehensive High School</t>
  </si>
  <si>
    <t>13520 Hwy 59 West</t>
  </si>
  <si>
    <t>240_46</t>
  </si>
  <si>
    <t>La Grange Moscow Elementary</t>
  </si>
  <si>
    <t>15655 Highway 57 East</t>
  </si>
  <si>
    <t>Moscow</t>
  </si>
  <si>
    <t>240_60</t>
  </si>
  <si>
    <t>Oakland Elementary</t>
  </si>
  <si>
    <t>14925 Hwy 194 North</t>
  </si>
  <si>
    <t>Oakland</t>
  </si>
  <si>
    <t>240_70</t>
  </si>
  <si>
    <t>Southwest Elementary</t>
  </si>
  <si>
    <t>8095 Highway 194</t>
  </si>
  <si>
    <t>Williston</t>
  </si>
  <si>
    <t>240_90</t>
  </si>
  <si>
    <t>West Junior High School</t>
  </si>
  <si>
    <t>13100 Highway 194</t>
  </si>
  <si>
    <t>240_95</t>
  </si>
  <si>
    <t>Buckley-Carpenter Elementary School</t>
  </si>
  <si>
    <t>12580 S Main ST</t>
  </si>
  <si>
    <t>250_5</t>
  </si>
  <si>
    <t>Allardt Elementary</t>
  </si>
  <si>
    <t>220 Portland AVE</t>
  </si>
  <si>
    <t>Allardt</t>
  </si>
  <si>
    <t>Clarkrange High School</t>
  </si>
  <si>
    <t>5801 S York HWY</t>
  </si>
  <si>
    <t>Clarkrange</t>
  </si>
  <si>
    <t>250_33</t>
  </si>
  <si>
    <t>South Fentress Elementary School</t>
  </si>
  <si>
    <t>5018 Wilder RD</t>
  </si>
  <si>
    <t>Grimsley</t>
  </si>
  <si>
    <t>250_40</t>
  </si>
  <si>
    <t>Pine Haven Elementary</t>
  </si>
  <si>
    <t>800 N York HWY</t>
  </si>
  <si>
    <t>Jamestown</t>
  </si>
  <si>
    <t>250_60</t>
  </si>
  <si>
    <t>York Elementary</t>
  </si>
  <si>
    <t>218 School AVE</t>
  </si>
  <si>
    <t>260_15</t>
  </si>
  <si>
    <t>Broadview Elementary</t>
  </si>
  <si>
    <t>4980 Lynchburg RD</t>
  </si>
  <si>
    <t>Winchester</t>
  </si>
  <si>
    <t>260_30</t>
  </si>
  <si>
    <t>Clark Memorial School</t>
  </si>
  <si>
    <t>500 N Jefferson ST</t>
  </si>
  <si>
    <t>260_35</t>
  </si>
  <si>
    <t>Cowan Elementary</t>
  </si>
  <si>
    <t>501 East Cumberland ST</t>
  </si>
  <si>
    <t>Cowan</t>
  </si>
  <si>
    <t>260_40</t>
  </si>
  <si>
    <t>Decherd Elementary</t>
  </si>
  <si>
    <t>401 Bratton ST</t>
  </si>
  <si>
    <t>Decherd</t>
  </si>
  <si>
    <t>Franklin Co High School</t>
  </si>
  <si>
    <t>833 Bypass RD</t>
  </si>
  <si>
    <t>Huntland School</t>
  </si>
  <si>
    <t>400 Gore ST</t>
  </si>
  <si>
    <t>Huntland</t>
  </si>
  <si>
    <t>260_80</t>
  </si>
  <si>
    <t>North Middle School</t>
  </si>
  <si>
    <t>2990 Decherd BLVD</t>
  </si>
  <si>
    <t>260_82</t>
  </si>
  <si>
    <t>North Lake Elementary</t>
  </si>
  <si>
    <t>10626 Old Tullahoma RD</t>
  </si>
  <si>
    <t>260_87</t>
  </si>
  <si>
    <t>Rock Creek Elementary</t>
  </si>
  <si>
    <t>901 Rock Creek RD</t>
  </si>
  <si>
    <t>Estill Springs</t>
  </si>
  <si>
    <t>260_90</t>
  </si>
  <si>
    <t>Sewanee Elementary</t>
  </si>
  <si>
    <t>209 University AVE</t>
  </si>
  <si>
    <t>Sewanee</t>
  </si>
  <si>
    <t>260_115</t>
  </si>
  <si>
    <t>South Middle School</t>
  </si>
  <si>
    <t>601 West Cumberland ST</t>
  </si>
  <si>
    <t>Humboldt Junior/Senior High School</t>
  </si>
  <si>
    <t>2600 Viking DR</t>
  </si>
  <si>
    <t>Humboldt</t>
  </si>
  <si>
    <t>271_27</t>
  </si>
  <si>
    <t>East Elementary School</t>
  </si>
  <si>
    <t>1560 North 30th AVE</t>
  </si>
  <si>
    <t>271_29</t>
  </si>
  <si>
    <t>Stigall Primary School</t>
  </si>
  <si>
    <t>301 Westside DR</t>
  </si>
  <si>
    <t>Milan High School</t>
  </si>
  <si>
    <t>7060 Van Hook Street East</t>
  </si>
  <si>
    <t>272_15</t>
  </si>
  <si>
    <t>Milan Middle School</t>
  </si>
  <si>
    <t>4040 Middle RD</t>
  </si>
  <si>
    <t>272_25</t>
  </si>
  <si>
    <t>Milan Elementary</t>
  </si>
  <si>
    <t>1100 Middle RD</t>
  </si>
  <si>
    <t>Peabody High School</t>
  </si>
  <si>
    <t>2069 Hwy 45 Bypass</t>
  </si>
  <si>
    <t>273_10</t>
  </si>
  <si>
    <t>Trenton Middle School</t>
  </si>
  <si>
    <t>2065 Hwy 45 Bypass</t>
  </si>
  <si>
    <t>273_15</t>
  </si>
  <si>
    <t>Trenton Elementary</t>
  </si>
  <si>
    <t>811 S College ST</t>
  </si>
  <si>
    <t>Bradford High School</t>
  </si>
  <si>
    <t>136 Highway 45 S</t>
  </si>
  <si>
    <t>274_10</t>
  </si>
  <si>
    <t>Bradford Elementary</t>
  </si>
  <si>
    <t>275_15</t>
  </si>
  <si>
    <t>Dyer Elementary</t>
  </si>
  <si>
    <t>322 East College ST</t>
  </si>
  <si>
    <t>Dyer</t>
  </si>
  <si>
    <t>Gibson County High School</t>
  </si>
  <si>
    <t>130 Trenton HWY</t>
  </si>
  <si>
    <t>275_35</t>
  </si>
  <si>
    <t>Kenton Elementary School</t>
  </si>
  <si>
    <t>633 North Poplar</t>
  </si>
  <si>
    <t>Kenton</t>
  </si>
  <si>
    <t>South Gibson County High School</t>
  </si>
  <si>
    <t>100 Mount Zion RD</t>
  </si>
  <si>
    <t>Medina</t>
  </si>
  <si>
    <t>275_40</t>
  </si>
  <si>
    <t>Medina Elementary</t>
  </si>
  <si>
    <t>227 North Second ST</t>
  </si>
  <si>
    <t>275_45</t>
  </si>
  <si>
    <t>Medina Middle School</t>
  </si>
  <si>
    <t>1300 Middle School ST</t>
  </si>
  <si>
    <t>275_55</t>
  </si>
  <si>
    <t>Rutherford Elementary</t>
  </si>
  <si>
    <t>108 West Knox ST</t>
  </si>
  <si>
    <t>Rutherford</t>
  </si>
  <si>
    <t>275_65</t>
  </si>
  <si>
    <t>Spring Hill Elementary</t>
  </si>
  <si>
    <t>84 State Route 188</t>
  </si>
  <si>
    <t>275_85</t>
  </si>
  <si>
    <t>Yorkville Elementary</t>
  </si>
  <si>
    <t>56 Nebo - Yorkville RD</t>
  </si>
  <si>
    <t>Yorkville</t>
  </si>
  <si>
    <t>280_7</t>
  </si>
  <si>
    <t>Bridgeforth Middle School</t>
  </si>
  <si>
    <t>1051 Bridgeforth CIR</t>
  </si>
  <si>
    <t>Pulaski</t>
  </si>
  <si>
    <t>280_35</t>
  </si>
  <si>
    <t>Elkton Elementary</t>
  </si>
  <si>
    <t>176 College ST</t>
  </si>
  <si>
    <t>Elkton</t>
  </si>
  <si>
    <t>Giles Co High School</t>
  </si>
  <si>
    <t>200 Sheila Frost DR</t>
  </si>
  <si>
    <t>280_65</t>
  </si>
  <si>
    <t>Minor Hill School</t>
  </si>
  <si>
    <t>13099 Minor Hill HWY</t>
  </si>
  <si>
    <t>Minor Hill</t>
  </si>
  <si>
    <t>280_72</t>
  </si>
  <si>
    <t>Pulaski Elementary</t>
  </si>
  <si>
    <t>606 Cedar LN</t>
  </si>
  <si>
    <t>280_81</t>
  </si>
  <si>
    <t>Richland Elementary</t>
  </si>
  <si>
    <t>10333 Columbia HWY</t>
  </si>
  <si>
    <t>Lynnville</t>
  </si>
  <si>
    <t>Richland School</t>
  </si>
  <si>
    <t>10610 Columbia HWY</t>
  </si>
  <si>
    <t>280_87</t>
  </si>
  <si>
    <t>Southside Elementary</t>
  </si>
  <si>
    <t>707 South Cedar LN</t>
  </si>
  <si>
    <t>290_5</t>
  </si>
  <si>
    <t>Bean Station Elementary</t>
  </si>
  <si>
    <t>200 Bean Station School RD</t>
  </si>
  <si>
    <t>Bean Station</t>
  </si>
  <si>
    <t>Grainger High School</t>
  </si>
  <si>
    <t>2201 Hwy 11 W South</t>
  </si>
  <si>
    <t>Rutledge</t>
  </si>
  <si>
    <t>290_10</t>
  </si>
  <si>
    <t>Joppa Elementary</t>
  </si>
  <si>
    <t>4745 Rutledge PIKE</t>
  </si>
  <si>
    <t>290_15</t>
  </si>
  <si>
    <t>Rutledge Primary</t>
  </si>
  <si>
    <t>470 Water ST</t>
  </si>
  <si>
    <t>290_18</t>
  </si>
  <si>
    <t>Rutledge Elementary School</t>
  </si>
  <si>
    <t>7480 Rutledge PIKE</t>
  </si>
  <si>
    <t>290_23</t>
  </si>
  <si>
    <t>Rutledge Middle School</t>
  </si>
  <si>
    <t>140 Pioneer DR</t>
  </si>
  <si>
    <t>Washburn School</t>
  </si>
  <si>
    <t>7925 Hwy 131</t>
  </si>
  <si>
    <t>Washburn</t>
  </si>
  <si>
    <t>Grainger Academy</t>
  </si>
  <si>
    <t>232 Pioneer DR</t>
  </si>
  <si>
    <t>300_5</t>
  </si>
  <si>
    <t>Baileyton Elementary</t>
  </si>
  <si>
    <t>6535 Horton HWY</t>
  </si>
  <si>
    <t>300_10</t>
  </si>
  <si>
    <t>Camp Creek Elementary</t>
  </si>
  <si>
    <t>2941 Camp Creek RD</t>
  </si>
  <si>
    <t>300_20</t>
  </si>
  <si>
    <t>Chuckey Elementary</t>
  </si>
  <si>
    <t>1605 Chuckey HWY</t>
  </si>
  <si>
    <t>Chuckey</t>
  </si>
  <si>
    <t>300_25</t>
  </si>
  <si>
    <t>Chuckey Doak Middle School</t>
  </si>
  <si>
    <t>120 Chuckey Doak RD</t>
  </si>
  <si>
    <t>Afton</t>
  </si>
  <si>
    <t>Chuckey Doak High School</t>
  </si>
  <si>
    <t>365 Ripley Island RD</t>
  </si>
  <si>
    <t>300_30</t>
  </si>
  <si>
    <t>Debusk Elementary</t>
  </si>
  <si>
    <t>740 Debusk RD</t>
  </si>
  <si>
    <t>300_35</t>
  </si>
  <si>
    <t>Doak Elementary</t>
  </si>
  <si>
    <t>70 West ST</t>
  </si>
  <si>
    <t>300_40</t>
  </si>
  <si>
    <t>3860 Warrensburg RD</t>
  </si>
  <si>
    <t>300_55</t>
  </si>
  <si>
    <t>McDonald Elementary</t>
  </si>
  <si>
    <t>8120 McDonald RD</t>
  </si>
  <si>
    <t>Mohawk</t>
  </si>
  <si>
    <t>300_60</t>
  </si>
  <si>
    <t>Mosheim Elementary</t>
  </si>
  <si>
    <t>297 West School ST</t>
  </si>
  <si>
    <t>Mosheim</t>
  </si>
  <si>
    <t>300_67</t>
  </si>
  <si>
    <t>Nolachuckey Elementary</t>
  </si>
  <si>
    <t>565 Nolachuckey RD</t>
  </si>
  <si>
    <t>North Greene High School</t>
  </si>
  <si>
    <t>4675 Old Baileyton RD</t>
  </si>
  <si>
    <t>300_75</t>
  </si>
  <si>
    <t>Ottway Elementary</t>
  </si>
  <si>
    <t>2705 Ottway RD</t>
  </si>
  <si>
    <t>South Greene High School</t>
  </si>
  <si>
    <t>7469 Asheville HWY</t>
  </si>
  <si>
    <t>West Greene High School</t>
  </si>
  <si>
    <t>275 West Greene DR</t>
  </si>
  <si>
    <t>300_100</t>
  </si>
  <si>
    <t>West Pines Elementary</t>
  </si>
  <si>
    <t>3500 West Pines RD</t>
  </si>
  <si>
    <t>301_8</t>
  </si>
  <si>
    <t>C Hal Henard Elementary</t>
  </si>
  <si>
    <t>425 E Vann RD</t>
  </si>
  <si>
    <t>301_15</t>
  </si>
  <si>
    <t>Eastview Elementary</t>
  </si>
  <si>
    <t>454 East Bernard AVE</t>
  </si>
  <si>
    <t>Greeneville High School</t>
  </si>
  <si>
    <t>210 Tusculum BLVD</t>
  </si>
  <si>
    <t>301_25</t>
  </si>
  <si>
    <t>Greeneville Middle School</t>
  </si>
  <si>
    <t>433 E Vann RD</t>
  </si>
  <si>
    <t>301_30</t>
  </si>
  <si>
    <t>Highland Elementary</t>
  </si>
  <si>
    <t>208 N Highland</t>
  </si>
  <si>
    <t>301_35</t>
  </si>
  <si>
    <t>Tusculum View Elementary</t>
  </si>
  <si>
    <t>1725 Lafayette ST</t>
  </si>
  <si>
    <t>310_15</t>
  </si>
  <si>
    <t>Coalmont Elementary</t>
  </si>
  <si>
    <t>7862 SR 56 HWY</t>
  </si>
  <si>
    <t>Coalmont</t>
  </si>
  <si>
    <t>Grundy County High School</t>
  </si>
  <si>
    <t>24970 SR 108</t>
  </si>
  <si>
    <t>310_35</t>
  </si>
  <si>
    <t>North Elementary</t>
  </si>
  <si>
    <t>309 Main ST</t>
  </si>
  <si>
    <t>Altamont</t>
  </si>
  <si>
    <t>310_40</t>
  </si>
  <si>
    <t>Palmer Elementary</t>
  </si>
  <si>
    <t>226 Schoolhouse RD</t>
  </si>
  <si>
    <t>Palmer</t>
  </si>
  <si>
    <t>310_45</t>
  </si>
  <si>
    <t>Pelham Elementary</t>
  </si>
  <si>
    <t>Hwy 50</t>
  </si>
  <si>
    <t>Pelham</t>
  </si>
  <si>
    <t>310_60</t>
  </si>
  <si>
    <t>Swiss Memorial Elementary</t>
  </si>
  <si>
    <t>5th Avenue North</t>
  </si>
  <si>
    <t>Gruetli- Laager</t>
  </si>
  <si>
    <t>310_65</t>
  </si>
  <si>
    <t>Tracy Elementary</t>
  </si>
  <si>
    <t>276 3rd ST</t>
  </si>
  <si>
    <t>Tracy City</t>
  </si>
  <si>
    <t>320_5</t>
  </si>
  <si>
    <t>Alpha Elementary</t>
  </si>
  <si>
    <t>5620 Old Us 11e HWY</t>
  </si>
  <si>
    <t>Morristown</t>
  </si>
  <si>
    <t>320_7</t>
  </si>
  <si>
    <t>East Ridge Middle School</t>
  </si>
  <si>
    <t>6595 St. Clair RD</t>
  </si>
  <si>
    <t>Whitesburg</t>
  </si>
  <si>
    <t>320_10</t>
  </si>
  <si>
    <t>Fairview Marguerite</t>
  </si>
  <si>
    <t>2125 Fairview RD</t>
  </si>
  <si>
    <t>320_12</t>
  </si>
  <si>
    <t>Hillcrest Elementary</t>
  </si>
  <si>
    <t>407 S Liberty Hill RD</t>
  </si>
  <si>
    <t>320_14</t>
  </si>
  <si>
    <t>John Hay Elementary</t>
  </si>
  <si>
    <t>501 Brittain Court</t>
  </si>
  <si>
    <t>320_15</t>
  </si>
  <si>
    <t>Manley Elementary</t>
  </si>
  <si>
    <t>551 West Economy RD</t>
  </si>
  <si>
    <t>320_18</t>
  </si>
  <si>
    <t>Lincoln Heights Elementary</t>
  </si>
  <si>
    <t>215 Lincoln AVE</t>
  </si>
  <si>
    <t>320_20</t>
  </si>
  <si>
    <t>Russellville Elementary</t>
  </si>
  <si>
    <t>5655 Old Russellville PIKE</t>
  </si>
  <si>
    <t>Russellville</t>
  </si>
  <si>
    <t>320_27</t>
  </si>
  <si>
    <t>Lincoln Heights Middle School</t>
  </si>
  <si>
    <t>219 Lincoln AVE</t>
  </si>
  <si>
    <t>320_30</t>
  </si>
  <si>
    <t>Union Heights Elementary</t>
  </si>
  <si>
    <t>3366 Tornado TRL</t>
  </si>
  <si>
    <t>320_33</t>
  </si>
  <si>
    <t>West View Middle School</t>
  </si>
  <si>
    <t>1 Indian Path</t>
  </si>
  <si>
    <t>320_35</t>
  </si>
  <si>
    <t>Whitesburg Elementary</t>
  </si>
  <si>
    <t>7859 East Andrew Johnson</t>
  </si>
  <si>
    <t>320_37</t>
  </si>
  <si>
    <t>Meadowview Middle School</t>
  </si>
  <si>
    <t>1623 Meadowview Ln</t>
  </si>
  <si>
    <t>320_40</t>
  </si>
  <si>
    <t>Witt Elementary</t>
  </si>
  <si>
    <t>4650 S Davy Crockett PKWY</t>
  </si>
  <si>
    <t>Morristown East High</t>
  </si>
  <si>
    <t>One Hurricane LN</t>
  </si>
  <si>
    <t>Morristown West High</t>
  </si>
  <si>
    <t>One Trojan TRL</t>
  </si>
  <si>
    <t>320_48</t>
  </si>
  <si>
    <t>West Elementary</t>
  </si>
  <si>
    <t>235 W Converse</t>
  </si>
  <si>
    <t>330_5</t>
  </si>
  <si>
    <t>Allen Elementary</t>
  </si>
  <si>
    <t>9811 Dallas Hollow RD</t>
  </si>
  <si>
    <t>Soddy Daisy</t>
  </si>
  <si>
    <t>330_10</t>
  </si>
  <si>
    <t>Alpine Crest Elementary</t>
  </si>
  <si>
    <t>4700 Stagg RD</t>
  </si>
  <si>
    <t>Chattanooga</t>
  </si>
  <si>
    <t>330_13</t>
  </si>
  <si>
    <t>Apison Elementary School</t>
  </si>
  <si>
    <t>10433 East Brainerd RD</t>
  </si>
  <si>
    <t>Apison</t>
  </si>
  <si>
    <t>330_16</t>
  </si>
  <si>
    <t>Battle Academy For Teaching Learning</t>
  </si>
  <si>
    <t>1601 Market ST</t>
  </si>
  <si>
    <t>330_17</t>
  </si>
  <si>
    <t>Bess T Shepherd Elementary</t>
  </si>
  <si>
    <t>7126 Tyner RD</t>
  </si>
  <si>
    <t>330_19</t>
  </si>
  <si>
    <t>Big Ridge Elementary</t>
  </si>
  <si>
    <t>5210 Cassandra Smith RD</t>
  </si>
  <si>
    <t>Hixson</t>
  </si>
  <si>
    <t>Brainerd High School</t>
  </si>
  <si>
    <t>1020 N Moore RD</t>
  </si>
  <si>
    <t>330_33</t>
  </si>
  <si>
    <t>Tommie F. Brown Academy</t>
  </si>
  <si>
    <t>718 East 8th ST</t>
  </si>
  <si>
    <t>330_35</t>
  </si>
  <si>
    <t>Brown Middle School</t>
  </si>
  <si>
    <t>5716 Hwy 58</t>
  </si>
  <si>
    <t>Harrison</t>
  </si>
  <si>
    <t>330_37</t>
  </si>
  <si>
    <t>Calvin Donaldson Environmental Science Academy</t>
  </si>
  <si>
    <t>927 West 37th ST</t>
  </si>
  <si>
    <t>5728 Highway 58</t>
  </si>
  <si>
    <t>330_41</t>
  </si>
  <si>
    <t>Normal Park Museum Magnet School</t>
  </si>
  <si>
    <t>1219 West Mississippi AVE</t>
  </si>
  <si>
    <t>Chatt High Center For Creative Arts</t>
  </si>
  <si>
    <t>1301 Dallas RD</t>
  </si>
  <si>
    <t>Chattanooga School For Arts And Sciences Upper</t>
  </si>
  <si>
    <t>865 E 3rd ST</t>
  </si>
  <si>
    <t>330_47</t>
  </si>
  <si>
    <t>Chattanooga School For The Arts And Science Lower</t>
  </si>
  <si>
    <t>865 East 3rd ST</t>
  </si>
  <si>
    <t>330_48</t>
  </si>
  <si>
    <t>Clifton Hills Elementary</t>
  </si>
  <si>
    <t>1815 East 32nd ST</t>
  </si>
  <si>
    <t>330_50</t>
  </si>
  <si>
    <t>Daisy Elementary</t>
  </si>
  <si>
    <t>620 Sequoyah RD</t>
  </si>
  <si>
    <t>330_51</t>
  </si>
  <si>
    <t>McConnell Elementary</t>
  </si>
  <si>
    <t>8629 Columbus RD</t>
  </si>
  <si>
    <t>330_55</t>
  </si>
  <si>
    <t>Dalewood Middle School</t>
  </si>
  <si>
    <t>1300 Shallowford RD</t>
  </si>
  <si>
    <t>330_58</t>
  </si>
  <si>
    <t>Dupont Elementary</t>
  </si>
  <si>
    <t>4134 Hixson PIKE</t>
  </si>
  <si>
    <t>East Hamilton School</t>
  </si>
  <si>
    <t>2015 Ooltewah-Ringgold RD</t>
  </si>
  <si>
    <t>Ooltewah</t>
  </si>
  <si>
    <t>330_62</t>
  </si>
  <si>
    <t>East Brainerd Elementary</t>
  </si>
  <si>
    <t>7453 E Brainerd RD</t>
  </si>
  <si>
    <t>330_63</t>
  </si>
  <si>
    <t>East Lake Elementary</t>
  </si>
  <si>
    <t>3600 13th AVE</t>
  </si>
  <si>
    <t>330_64</t>
  </si>
  <si>
    <t>East Lake Academy Of Fine Arts</t>
  </si>
  <si>
    <t>2700 East 34th ST</t>
  </si>
  <si>
    <t>330_65</t>
  </si>
  <si>
    <t>East Ridge Elementary</t>
  </si>
  <si>
    <t>1014 John Ross RD</t>
  </si>
  <si>
    <t>East Ridge High School</t>
  </si>
  <si>
    <t>4320 Bennett RD</t>
  </si>
  <si>
    <t>330_75</t>
  </si>
  <si>
    <t>4400 Bennett RD</t>
  </si>
  <si>
    <t>330_78</t>
  </si>
  <si>
    <t>1603 South Lyerly ST</t>
  </si>
  <si>
    <t>330_85</t>
  </si>
  <si>
    <t>Middle Valley Elementary</t>
  </si>
  <si>
    <t>1609 Thrasher PIKE</t>
  </si>
  <si>
    <t>Hamilton County Collegiate High at Chattanooga State</t>
  </si>
  <si>
    <t>4501 Amnicola HWY</t>
  </si>
  <si>
    <t>330_90</t>
  </si>
  <si>
    <t>Harrison Elementary</t>
  </si>
  <si>
    <t>5637 Highway 58 North</t>
  </si>
  <si>
    <t>Hamilton County High School</t>
  </si>
  <si>
    <t>9050 Career LN</t>
  </si>
  <si>
    <t>330_97</t>
  </si>
  <si>
    <t>Barger Academy</t>
  </si>
  <si>
    <t>4808 Brainerd RD</t>
  </si>
  <si>
    <t>330_100</t>
  </si>
  <si>
    <t>Hunter Middle School</t>
  </si>
  <si>
    <t>6810 Teal LN</t>
  </si>
  <si>
    <t>330_110</t>
  </si>
  <si>
    <t>Hardy Elementary School</t>
  </si>
  <si>
    <t>2100 Glass ST</t>
  </si>
  <si>
    <t>330_120</t>
  </si>
  <si>
    <t>Loftis Middle School</t>
  </si>
  <si>
    <t>8611 Columbus RD</t>
  </si>
  <si>
    <t>330_125</t>
  </si>
  <si>
    <t>Lookout Mountain Elementary</t>
  </si>
  <si>
    <t>321 N Bragg AVE</t>
  </si>
  <si>
    <t>Lookout Mtn</t>
  </si>
  <si>
    <t>330_127</t>
  </si>
  <si>
    <t>Hixson Elementary</t>
  </si>
  <si>
    <t>5950 Winding Ln</t>
  </si>
  <si>
    <t>Hixson High School</t>
  </si>
  <si>
    <t>5705 Middle Valley RD</t>
  </si>
  <si>
    <t>330_129</t>
  </si>
  <si>
    <t>Hixson Middle School</t>
  </si>
  <si>
    <t>5681 Old Hixson PIKE</t>
  </si>
  <si>
    <t>330_133</t>
  </si>
  <si>
    <t>4302 Bonny Oaks DR</t>
  </si>
  <si>
    <t>The Howard School</t>
  </si>
  <si>
    <t>2500 South Market ST</t>
  </si>
  <si>
    <t>330_147</t>
  </si>
  <si>
    <t>North Hamilton Elementary</t>
  </si>
  <si>
    <t>601 Industrial BLVD</t>
  </si>
  <si>
    <t>Sale Creek</t>
  </si>
  <si>
    <t>330_148</t>
  </si>
  <si>
    <t>Wolftever Creek Elementary</t>
  </si>
  <si>
    <t>5080 Ooltewah Ringold RD</t>
  </si>
  <si>
    <t>330_149</t>
  </si>
  <si>
    <t>Nolan Elementary</t>
  </si>
  <si>
    <t>4435 Shackleford Ridge RD</t>
  </si>
  <si>
    <t>Signal Mountain</t>
  </si>
  <si>
    <t>330_155</t>
  </si>
  <si>
    <t>Ooltewah Elementary</t>
  </si>
  <si>
    <t>8890 Snowy Owl TRL</t>
  </si>
  <si>
    <t>330_157</t>
  </si>
  <si>
    <t>Ooltewah Middle School</t>
  </si>
  <si>
    <t>5100 Ooltewah Ringgold RD</t>
  </si>
  <si>
    <t>330_159</t>
  </si>
  <si>
    <t>Lakeside Academy</t>
  </si>
  <si>
    <t>4850 Jersey PIKE</t>
  </si>
  <si>
    <t>Ooltewah High School</t>
  </si>
  <si>
    <t>6123 Mt View RD</t>
  </si>
  <si>
    <t>330_162</t>
  </si>
  <si>
    <t>Chattanooga School For The Liberal Arts</t>
  </si>
  <si>
    <t>6579 East Brainerd RD</t>
  </si>
  <si>
    <t>Lookout Valley Middle / High School</t>
  </si>
  <si>
    <t>350 Lookout High ST</t>
  </si>
  <si>
    <t>330_171</t>
  </si>
  <si>
    <t>Red Bank Elementary</t>
  </si>
  <si>
    <t>1100 Mountain Creek RD</t>
  </si>
  <si>
    <t>Red Bank High School</t>
  </si>
  <si>
    <t>640 Morrison Springs RD</t>
  </si>
  <si>
    <t>330_180</t>
  </si>
  <si>
    <t>Red Bank Middle School</t>
  </si>
  <si>
    <t>3701 Tom Weathers LN</t>
  </si>
  <si>
    <t>330_183</t>
  </si>
  <si>
    <t>Rivermont Elementary</t>
  </si>
  <si>
    <t>3330 Hixson PIKE</t>
  </si>
  <si>
    <t>Sale Creek Middle / High School</t>
  </si>
  <si>
    <t>211 Patterson RD</t>
  </si>
  <si>
    <t>330_194</t>
  </si>
  <si>
    <t>Orchard Knob Elementary</t>
  </si>
  <si>
    <t>400 North Orchard Knob AVE</t>
  </si>
  <si>
    <t>Sequoyah High School</t>
  </si>
  <si>
    <t>9517 Sequoyah Access RD</t>
  </si>
  <si>
    <t>330_200</t>
  </si>
  <si>
    <t>Orchard Knob Middle</t>
  </si>
  <si>
    <t>500 North Highland Park AVE</t>
  </si>
  <si>
    <t>Signal Mountain Middle/High School</t>
  </si>
  <si>
    <t>2650 Sam Powell TRL</t>
  </si>
  <si>
    <t>330_215</t>
  </si>
  <si>
    <t>Snow Hill Elementary</t>
  </si>
  <si>
    <t>9042 Career LN</t>
  </si>
  <si>
    <t>Soddy Daisy High School</t>
  </si>
  <si>
    <t>618 Sequoyah- Access RD</t>
  </si>
  <si>
    <t>330_225</t>
  </si>
  <si>
    <t>Soddy Daisy Middle School</t>
  </si>
  <si>
    <t>200 Turner RD</t>
  </si>
  <si>
    <t>330_230</t>
  </si>
  <si>
    <t>Soddy Elementary</t>
  </si>
  <si>
    <t>260 School ST</t>
  </si>
  <si>
    <t>330_235</t>
  </si>
  <si>
    <t>Spring Creek Elementary</t>
  </si>
  <si>
    <t>1100 Spring Creek RD</t>
  </si>
  <si>
    <t>Tyner Academy</t>
  </si>
  <si>
    <t>6836 Tyner RD</t>
  </si>
  <si>
    <t>330_239</t>
  </si>
  <si>
    <t>Tyner Middle Academy</t>
  </si>
  <si>
    <t>6837 Tyner RD</t>
  </si>
  <si>
    <t>330_240</t>
  </si>
  <si>
    <t>Thrasher Elementary</t>
  </si>
  <si>
    <t>1301 James BLVD</t>
  </si>
  <si>
    <t>Signal Mtn</t>
  </si>
  <si>
    <t>330_241</t>
  </si>
  <si>
    <t>Lookout Valley Elementary</t>
  </si>
  <si>
    <t>701 Browns Ferry RD</t>
  </si>
  <si>
    <t>330_245</t>
  </si>
  <si>
    <t>Woodmore Elementary</t>
  </si>
  <si>
    <t>800 Woodmore LN</t>
  </si>
  <si>
    <t>330_260</t>
  </si>
  <si>
    <t>Wallace A. Smith Elementary</t>
  </si>
  <si>
    <t>6930 Hunter RD</t>
  </si>
  <si>
    <t>330_265</t>
  </si>
  <si>
    <t>Westview Elementary</t>
  </si>
  <si>
    <t>9629 East Brainerd RD</t>
  </si>
  <si>
    <t>Hamilton County Virtual School</t>
  </si>
  <si>
    <t>3074 Hickory Valley RD</t>
  </si>
  <si>
    <t>STEM School Chattanooga</t>
  </si>
  <si>
    <t>Chattanooga Girls Leadership Academy</t>
  </si>
  <si>
    <t>1802 Bailey AVE</t>
  </si>
  <si>
    <t>Ivy Academy Inc.</t>
  </si>
  <si>
    <t>8443 Dayton PIKE</t>
  </si>
  <si>
    <t>330_8003</t>
  </si>
  <si>
    <t>Chattanooga Charter School of Excellence</t>
  </si>
  <si>
    <t>5600 Brainerd RD, Suite A-24</t>
  </si>
  <si>
    <t>330_8010</t>
  </si>
  <si>
    <t>Chattanooga Charter School of Excellence Middle School</t>
  </si>
  <si>
    <t>1912 South Willow ST</t>
  </si>
  <si>
    <t>340_20</t>
  </si>
  <si>
    <t>Hancock County Elementary</t>
  </si>
  <si>
    <t>373 Newman's Ridge RD</t>
  </si>
  <si>
    <t>Sneedville</t>
  </si>
  <si>
    <t>Hancock High School</t>
  </si>
  <si>
    <t>2700 Main ST</t>
  </si>
  <si>
    <t>350_5</t>
  </si>
  <si>
    <t>Bolivar Elementary</t>
  </si>
  <si>
    <t>445 Nuckolls RD</t>
  </si>
  <si>
    <t>Bolivar</t>
  </si>
  <si>
    <t>350_10</t>
  </si>
  <si>
    <t>Bolivar Middle School</t>
  </si>
  <si>
    <t>915 Pruitt ST</t>
  </si>
  <si>
    <t>313 Harris ST</t>
  </si>
  <si>
    <t>350_25</t>
  </si>
  <si>
    <t>Grand Junction Elementary</t>
  </si>
  <si>
    <t>750 Pledge ST</t>
  </si>
  <si>
    <t>Grand Junction</t>
  </si>
  <si>
    <t>350_30</t>
  </si>
  <si>
    <t>Hornsby Elementary</t>
  </si>
  <si>
    <t>50 Church ST</t>
  </si>
  <si>
    <t>Hornsby</t>
  </si>
  <si>
    <t>350_35</t>
  </si>
  <si>
    <t>Middleton Elementary</t>
  </si>
  <si>
    <t>180 Robin CIR</t>
  </si>
  <si>
    <t>Middleton</t>
  </si>
  <si>
    <t>Middleton High School</t>
  </si>
  <si>
    <t>138 Florida AVE</t>
  </si>
  <si>
    <t>350_45</t>
  </si>
  <si>
    <t>Toone Elementary</t>
  </si>
  <si>
    <t>160 Neely ST</t>
  </si>
  <si>
    <t>Toone</t>
  </si>
  <si>
    <t>350_55</t>
  </si>
  <si>
    <t>Whiteville Elementary</t>
  </si>
  <si>
    <t>2510 Highway 64 East</t>
  </si>
  <si>
    <t>Whiteville</t>
  </si>
  <si>
    <t>Hardin County High School</t>
  </si>
  <si>
    <t>909 South Pickwick RD</t>
  </si>
  <si>
    <t>Savannah</t>
  </si>
  <si>
    <t>360_17</t>
  </si>
  <si>
    <t>Hardin County Middle School</t>
  </si>
  <si>
    <t>299 Lacefield DR</t>
  </si>
  <si>
    <t>360_19</t>
  </si>
  <si>
    <t>East Hardin Elementary</t>
  </si>
  <si>
    <t>100 Freewill LN</t>
  </si>
  <si>
    <t>360_21</t>
  </si>
  <si>
    <t>1450 East Main ST</t>
  </si>
  <si>
    <t>360_45</t>
  </si>
  <si>
    <t>Parris South Elementary</t>
  </si>
  <si>
    <t>169 Lacefield DR</t>
  </si>
  <si>
    <t>360_50</t>
  </si>
  <si>
    <t>Pickwick Southside School</t>
  </si>
  <si>
    <t>1970 Hwy 57</t>
  </si>
  <si>
    <t>Counce</t>
  </si>
  <si>
    <t>360_67</t>
  </si>
  <si>
    <t>West Hardin Elementary</t>
  </si>
  <si>
    <t>25105 Highway 69 South</t>
  </si>
  <si>
    <t>Adamsville</t>
  </si>
  <si>
    <t>370_10</t>
  </si>
  <si>
    <t>Bulls Gap School</t>
  </si>
  <si>
    <t>315 Allen DR</t>
  </si>
  <si>
    <t>Bulls Gap</t>
  </si>
  <si>
    <t>370_15</t>
  </si>
  <si>
    <t>Carter's Valley Elementary</t>
  </si>
  <si>
    <t>1006 N Central AVE</t>
  </si>
  <si>
    <t>Church Hill</t>
  </si>
  <si>
    <t>Cherokee High School</t>
  </si>
  <si>
    <t>2927 Hwy 66 South</t>
  </si>
  <si>
    <t>Rogersville</t>
  </si>
  <si>
    <t>370_20</t>
  </si>
  <si>
    <t>Church Hill Elementary</t>
  </si>
  <si>
    <t>400 Old Stage RD</t>
  </si>
  <si>
    <t>370_23</t>
  </si>
  <si>
    <t>Church Hill Intermediate School</t>
  </si>
  <si>
    <t>301 Park AVE</t>
  </si>
  <si>
    <t>370_25</t>
  </si>
  <si>
    <t>Church Hill Middle School</t>
  </si>
  <si>
    <t>211 Oak DR</t>
  </si>
  <si>
    <t>Clinch School</t>
  </si>
  <si>
    <t>1540 Clinch Valley RD</t>
  </si>
  <si>
    <t>370_45</t>
  </si>
  <si>
    <t>Keplar Elementary</t>
  </si>
  <si>
    <t>1914 Burem PIKE</t>
  </si>
  <si>
    <t>370_55</t>
  </si>
  <si>
    <t>Mt Carmel Elementary</t>
  </si>
  <si>
    <t>127 Cherry ST</t>
  </si>
  <si>
    <t>Mt Carmel</t>
  </si>
  <si>
    <t>370_60</t>
  </si>
  <si>
    <t>McPheeter's Bend Elementary</t>
  </si>
  <si>
    <t>1115 Goshen Val RD</t>
  </si>
  <si>
    <t>370_65</t>
  </si>
  <si>
    <t>Mooresburg Elementary</t>
  </si>
  <si>
    <t>305 Hwy 31</t>
  </si>
  <si>
    <t>Mooresburg</t>
  </si>
  <si>
    <t>370_75</t>
  </si>
  <si>
    <t>Hawkins Elementary</t>
  </si>
  <si>
    <t>1121 E Main ST</t>
  </si>
  <si>
    <t>370_78</t>
  </si>
  <si>
    <t>Joseph Rogers Primary School</t>
  </si>
  <si>
    <t>2001 East Main ST</t>
  </si>
  <si>
    <t>370_80</t>
  </si>
  <si>
    <t>Rogersville Middle School</t>
  </si>
  <si>
    <t>958 McKinney AVE</t>
  </si>
  <si>
    <t>370_90</t>
  </si>
  <si>
    <t>St Clair Elementary</t>
  </si>
  <si>
    <t>1350 Melinda Ferry RD</t>
  </si>
  <si>
    <t>370_95</t>
  </si>
  <si>
    <t>Surgoinsville Elementary</t>
  </si>
  <si>
    <t>1010 W Main ST</t>
  </si>
  <si>
    <t>Surgoinsville</t>
  </si>
  <si>
    <t>370_100</t>
  </si>
  <si>
    <t>Surgoinsville Middle School</t>
  </si>
  <si>
    <t>1044 Main ST</t>
  </si>
  <si>
    <t>Volunteer High School</t>
  </si>
  <si>
    <t>1050 Volunteer BLVD</t>
  </si>
  <si>
    <t>371_5</t>
  </si>
  <si>
    <t>Rogersville Elementary</t>
  </si>
  <si>
    <t>116 Broadway</t>
  </si>
  <si>
    <t>380_25</t>
  </si>
  <si>
    <t>1315 East Jefferson</t>
  </si>
  <si>
    <t>Brownsville</t>
  </si>
  <si>
    <t>380_35</t>
  </si>
  <si>
    <t>313 N Grand AVE</t>
  </si>
  <si>
    <t>Haywood High School</t>
  </si>
  <si>
    <t>1175 E College</t>
  </si>
  <si>
    <t>380_45</t>
  </si>
  <si>
    <t>Haywood Middle School</t>
  </si>
  <si>
    <t>1201 Haralson</t>
  </si>
  <si>
    <t>390_5</t>
  </si>
  <si>
    <t>Bargerton Elementary</t>
  </si>
  <si>
    <t>6141 Poplar Springs/Bargerton RD</t>
  </si>
  <si>
    <t>Lexington</t>
  </si>
  <si>
    <t>390_10</t>
  </si>
  <si>
    <t>Beaver Elementary</t>
  </si>
  <si>
    <t>19830 Highway 22 North</t>
  </si>
  <si>
    <t>Wildersville</t>
  </si>
  <si>
    <t>Lexington High School</t>
  </si>
  <si>
    <t>284 White ST</t>
  </si>
  <si>
    <t>390_20</t>
  </si>
  <si>
    <t>Pin Oak Elementary</t>
  </si>
  <si>
    <t>19925 Hwy 412 East</t>
  </si>
  <si>
    <t>390_38</t>
  </si>
  <si>
    <t>Scotts Hill Elementary</t>
  </si>
  <si>
    <t>1 Highway 114 Main ST</t>
  </si>
  <si>
    <t>Scotts Hill</t>
  </si>
  <si>
    <t>Scotts Hill High School</t>
  </si>
  <si>
    <t>7871 Highway 100</t>
  </si>
  <si>
    <t>Reagan</t>
  </si>
  <si>
    <t>390_40</t>
  </si>
  <si>
    <t>South Haven Elementary</t>
  </si>
  <si>
    <t>5455 Highway 22 A</t>
  </si>
  <si>
    <t>390_45</t>
  </si>
  <si>
    <t>Westover Elementary</t>
  </si>
  <si>
    <t>300 Crucifer RD</t>
  </si>
  <si>
    <t>Huron</t>
  </si>
  <si>
    <t>390_50</t>
  </si>
  <si>
    <t>29855 Hwy 104 South</t>
  </si>
  <si>
    <t>391_5</t>
  </si>
  <si>
    <t>Paul G. Caywood Elementary</t>
  </si>
  <si>
    <t>162 Monroe AVE</t>
  </si>
  <si>
    <t>391_10</t>
  </si>
  <si>
    <t>Lexington Middle School</t>
  </si>
  <si>
    <t>112 Airways</t>
  </si>
  <si>
    <t>400_12</t>
  </si>
  <si>
    <t>Dorothy And Noble Harrelson School</t>
  </si>
  <si>
    <t>143 Puryear Country Club RD</t>
  </si>
  <si>
    <t>Puryear</t>
  </si>
  <si>
    <t>400_15</t>
  </si>
  <si>
    <t>E. W. Grove School</t>
  </si>
  <si>
    <t>215 Grove BLVD</t>
  </si>
  <si>
    <t>Paris</t>
  </si>
  <si>
    <t>400_20</t>
  </si>
  <si>
    <t>Henry Elementary</t>
  </si>
  <si>
    <t>937 Pioneer RD</t>
  </si>
  <si>
    <t>Henry</t>
  </si>
  <si>
    <t>Henry Co High School</t>
  </si>
  <si>
    <t>315 South Wilson ST</t>
  </si>
  <si>
    <t>400_33</t>
  </si>
  <si>
    <t>Lakewood Elementary</t>
  </si>
  <si>
    <t>6745 Highway 79 North</t>
  </si>
  <si>
    <t>Buchanan</t>
  </si>
  <si>
    <t>400_34</t>
  </si>
  <si>
    <t>Lakewood Middle School</t>
  </si>
  <si>
    <t>401_10</t>
  </si>
  <si>
    <t>W O Inman Middle School</t>
  </si>
  <si>
    <t>400 Harrison ST</t>
  </si>
  <si>
    <t>401_15</t>
  </si>
  <si>
    <t>W G Rhea Elementary</t>
  </si>
  <si>
    <t>115 South Wilson ST</t>
  </si>
  <si>
    <t>401_20</t>
  </si>
  <si>
    <t>Paris Elementary</t>
  </si>
  <si>
    <t>650 B Volunteer DR</t>
  </si>
  <si>
    <t>410_5</t>
  </si>
  <si>
    <t>Centerville Elementary</t>
  </si>
  <si>
    <t>104 Mary Field AVE</t>
  </si>
  <si>
    <t>Centerville</t>
  </si>
  <si>
    <t>410_7</t>
  </si>
  <si>
    <t>Centerville Intermediate School</t>
  </si>
  <si>
    <t>110 Mary Field AVE</t>
  </si>
  <si>
    <t>410_15</t>
  </si>
  <si>
    <t>East Hickman Elementary</t>
  </si>
  <si>
    <t>5191 Hwy 100</t>
  </si>
  <si>
    <t>Lyles</t>
  </si>
  <si>
    <t>410_16</t>
  </si>
  <si>
    <t>East Hickman Intermediate School</t>
  </si>
  <si>
    <t>5198 East Eagle DR</t>
  </si>
  <si>
    <t>410_17</t>
  </si>
  <si>
    <t>East Hickman Middle School</t>
  </si>
  <si>
    <t>9414 East Eagle DR</t>
  </si>
  <si>
    <t>East Hickman High School</t>
  </si>
  <si>
    <t>7700 Highway 7</t>
  </si>
  <si>
    <t>410_20</t>
  </si>
  <si>
    <t>Hickman Co Middle School</t>
  </si>
  <si>
    <t>1639 Bulldog BLVD</t>
  </si>
  <si>
    <t>Hickman Co Sr High School</t>
  </si>
  <si>
    <t>1645 Bulldog BLVD</t>
  </si>
  <si>
    <t>420_5</t>
  </si>
  <si>
    <t>Erin Elementary</t>
  </si>
  <si>
    <t>6500 State Route 13 S.</t>
  </si>
  <si>
    <t>Erin</t>
  </si>
  <si>
    <t>420_10</t>
  </si>
  <si>
    <t>Houston Co Middle School</t>
  </si>
  <si>
    <t>3460 West Main</t>
  </si>
  <si>
    <t>Houston Co High School</t>
  </si>
  <si>
    <t>2500 State Route 149</t>
  </si>
  <si>
    <t>420_15</t>
  </si>
  <si>
    <t>Tennessee Ridge Elementary</t>
  </si>
  <si>
    <t>135 School ST</t>
  </si>
  <si>
    <t>Tenn Ridge</t>
  </si>
  <si>
    <t>430_5</t>
  </si>
  <si>
    <t>802 Long ST</t>
  </si>
  <si>
    <t>New Johnsonville</t>
  </si>
  <si>
    <t>430_9</t>
  </si>
  <si>
    <t>Mc Ewen Elementary</t>
  </si>
  <si>
    <t>220 Swift Street East</t>
  </si>
  <si>
    <t>Mc Ewen</t>
  </si>
  <si>
    <t>430_13</t>
  </si>
  <si>
    <t>McEwen Jr. High School</t>
  </si>
  <si>
    <t>365 Melrose ST</t>
  </si>
  <si>
    <t>Mc Ewen High School</t>
  </si>
  <si>
    <t>335 Melrose ST</t>
  </si>
  <si>
    <t>McEwen</t>
  </si>
  <si>
    <t>Waverly Central High School</t>
  </si>
  <si>
    <t>1325 Hwy 70 W</t>
  </si>
  <si>
    <t>Waverly</t>
  </si>
  <si>
    <t>430_25</t>
  </si>
  <si>
    <t>Waverly Elementary</t>
  </si>
  <si>
    <t>612 E Main ST</t>
  </si>
  <si>
    <t>430_30</t>
  </si>
  <si>
    <t>Waverly Jr High School</t>
  </si>
  <si>
    <t>520 E Main ST</t>
  </si>
  <si>
    <t>Jackson County High School</t>
  </si>
  <si>
    <t>190 Blue Devil Ln</t>
  </si>
  <si>
    <t>Gainesboro</t>
  </si>
  <si>
    <t>440_10</t>
  </si>
  <si>
    <t>Dodson Branch Elementary</t>
  </si>
  <si>
    <t>16221 Dodson Branch HWY</t>
  </si>
  <si>
    <t>Cookeville</t>
  </si>
  <si>
    <t>440_25</t>
  </si>
  <si>
    <t>Gainesboro Elementary</t>
  </si>
  <si>
    <t>611 Main ST</t>
  </si>
  <si>
    <t>440_50</t>
  </si>
  <si>
    <t>Jackson County Middle School</t>
  </si>
  <si>
    <t>170 Blue Devil LN</t>
  </si>
  <si>
    <t>450_10</t>
  </si>
  <si>
    <t>Dandridge Elementary</t>
  </si>
  <si>
    <t>780 S Highway 92</t>
  </si>
  <si>
    <t>Dandridge</t>
  </si>
  <si>
    <t>450_15</t>
  </si>
  <si>
    <t>Jefferson Elementary</t>
  </si>
  <si>
    <t>321 W Broadway BLVD</t>
  </si>
  <si>
    <t>Jefferson City</t>
  </si>
  <si>
    <t>450_17</t>
  </si>
  <si>
    <t>361 West Broadway BLVD</t>
  </si>
  <si>
    <t>Jefferson Co High School</t>
  </si>
  <si>
    <t>115 W Dumplin Valley RD</t>
  </si>
  <si>
    <t>450_22</t>
  </si>
  <si>
    <t>Maury Middle School</t>
  </si>
  <si>
    <t>965 Maury CIR</t>
  </si>
  <si>
    <t>450_30</t>
  </si>
  <si>
    <t>New Market Elementary</t>
  </si>
  <si>
    <t>1559 W Old A Johnson HWY</t>
  </si>
  <si>
    <t>New Market</t>
  </si>
  <si>
    <t>450_35</t>
  </si>
  <si>
    <t>Piedmont Elementary</t>
  </si>
  <si>
    <t>1100 W Dumplin Valley RD</t>
  </si>
  <si>
    <t>450_40</t>
  </si>
  <si>
    <t>Rush Strong Elementary</t>
  </si>
  <si>
    <t>3081 W Old Andrew Johnson HWY</t>
  </si>
  <si>
    <t>Strawberry Plains</t>
  </si>
  <si>
    <t>450_55</t>
  </si>
  <si>
    <t>Talbott Elementary</t>
  </si>
  <si>
    <t>848 Talbott Kansas RD</t>
  </si>
  <si>
    <t>Talbott</t>
  </si>
  <si>
    <t>450_60</t>
  </si>
  <si>
    <t>White Pine Elementary</t>
  </si>
  <si>
    <t>3060 Roy Messer HWY</t>
  </si>
  <si>
    <t>White Pine</t>
  </si>
  <si>
    <t>450_70</t>
  </si>
  <si>
    <t>Mount Horeb Elementary School</t>
  </si>
  <si>
    <t>500 East Dumplin Valley RD</t>
  </si>
  <si>
    <t>460_5</t>
  </si>
  <si>
    <t>Doe Elementary</t>
  </si>
  <si>
    <t>7164 Highway 67 West</t>
  </si>
  <si>
    <t>Mountain City</t>
  </si>
  <si>
    <t>Johnson Co High School</t>
  </si>
  <si>
    <t>290 Fairground Hill</t>
  </si>
  <si>
    <t>460_16</t>
  </si>
  <si>
    <t>Johnson Co Middle School</t>
  </si>
  <si>
    <t>278 Fairground Hill</t>
  </si>
  <si>
    <t>460_20</t>
  </si>
  <si>
    <t>Laurel Elementary</t>
  </si>
  <si>
    <t>300 Gentry Creek RD</t>
  </si>
  <si>
    <t>Laurel Bloomery</t>
  </si>
  <si>
    <t>460_25</t>
  </si>
  <si>
    <t>Mountain City Elementary</t>
  </si>
  <si>
    <t>301 Donnelly ST</t>
  </si>
  <si>
    <t>460_33</t>
  </si>
  <si>
    <t>Roan Creek Elementary</t>
  </si>
  <si>
    <t>2410 Roan Creek RD</t>
  </si>
  <si>
    <t>460_35</t>
  </si>
  <si>
    <t>Shady Valley Elementary</t>
  </si>
  <si>
    <t>423 Hwy 133</t>
  </si>
  <si>
    <t>Shady Valley</t>
  </si>
  <si>
    <t>470_2</t>
  </si>
  <si>
    <t>Amherst Elementary School</t>
  </si>
  <si>
    <t>5101 Schaad RD</t>
  </si>
  <si>
    <t>Knoxville</t>
  </si>
  <si>
    <t>470_3</t>
  </si>
  <si>
    <t>Adrian Burnett Elementary</t>
  </si>
  <si>
    <t>4521 Brown Gap RD</t>
  </si>
  <si>
    <t>Austin East High/Magnet</t>
  </si>
  <si>
    <t>2800 M L King Jr AVE</t>
  </si>
  <si>
    <t>470_10</t>
  </si>
  <si>
    <t>Ball Camp Elementary</t>
  </si>
  <si>
    <t>9801 Middlebrook PIKE</t>
  </si>
  <si>
    <t>470_12</t>
  </si>
  <si>
    <t>Bearden Elementary</t>
  </si>
  <si>
    <t>5717 Kingston PIKE</t>
  </si>
  <si>
    <t>470_14</t>
  </si>
  <si>
    <t>Bearden Middle School</t>
  </si>
  <si>
    <t>1000 Francis RD</t>
  </si>
  <si>
    <t>470_15</t>
  </si>
  <si>
    <t>Blue Grass Elementary</t>
  </si>
  <si>
    <t>8901 Blue Grass RD</t>
  </si>
  <si>
    <t>Bearden High School</t>
  </si>
  <si>
    <t>8352 Kingston PIKE</t>
  </si>
  <si>
    <t>470_20</t>
  </si>
  <si>
    <t>Bonny Kate Elementary</t>
  </si>
  <si>
    <t>7608 Martin Mill PIKE</t>
  </si>
  <si>
    <t>470_22</t>
  </si>
  <si>
    <t>Beaumont Elementary/Magnet</t>
  </si>
  <si>
    <t>1211 Beaumont AVE</t>
  </si>
  <si>
    <t>470_24</t>
  </si>
  <si>
    <t>Belle Morris Elementary</t>
  </si>
  <si>
    <t>2308 Washington PIKE</t>
  </si>
  <si>
    <t>470_25</t>
  </si>
  <si>
    <t>Brickey McCloud Elementary</t>
  </si>
  <si>
    <t>1810 Dry Gap PIKE</t>
  </si>
  <si>
    <t>470_30</t>
  </si>
  <si>
    <t>Carter Elementary</t>
  </si>
  <si>
    <t>9304 College LN</t>
  </si>
  <si>
    <t>Carter High School</t>
  </si>
  <si>
    <t>210 N Carter School RD</t>
  </si>
  <si>
    <t>470_37</t>
  </si>
  <si>
    <t>Carter Middle School</t>
  </si>
  <si>
    <t>204 North Carter School RD</t>
  </si>
  <si>
    <t>470_40</t>
  </si>
  <si>
    <t>Cedar Bluff Elementary</t>
  </si>
  <si>
    <t>705 North Cedar Bluff RD</t>
  </si>
  <si>
    <t>470_45</t>
  </si>
  <si>
    <t>Cedar Bluff Middle School</t>
  </si>
  <si>
    <t>707 North Cedar Bluff RD</t>
  </si>
  <si>
    <t>5321 Jacksboro PIKE</t>
  </si>
  <si>
    <t>470_51</t>
  </si>
  <si>
    <t>Copper Ridge Elementary</t>
  </si>
  <si>
    <t>2502 East Brushy Valley RD</t>
  </si>
  <si>
    <t>470_53</t>
  </si>
  <si>
    <t>Chilhowee Intermediate</t>
  </si>
  <si>
    <t>5005 Asheville HWY</t>
  </si>
  <si>
    <t>470_55</t>
  </si>
  <si>
    <t>Corryton Elementary</t>
  </si>
  <si>
    <t>7200 Corryton RD</t>
  </si>
  <si>
    <t>Corryton</t>
  </si>
  <si>
    <t>470_59</t>
  </si>
  <si>
    <t>Dogwood Elementary</t>
  </si>
  <si>
    <t>705 Tipton AVE</t>
  </si>
  <si>
    <t>470_61</t>
  </si>
  <si>
    <t>Christenberry Elementary</t>
  </si>
  <si>
    <t>927 Oglewood AVE</t>
  </si>
  <si>
    <t>South Doyle High School</t>
  </si>
  <si>
    <t>2020 Tipton Station RD</t>
  </si>
  <si>
    <t>470_66</t>
  </si>
  <si>
    <t>A L Lotts Elementary</t>
  </si>
  <si>
    <t>9320 Westland DR</t>
  </si>
  <si>
    <t>470_67</t>
  </si>
  <si>
    <t>South Doyle Middle School</t>
  </si>
  <si>
    <t>3900 Decatur RD</t>
  </si>
  <si>
    <t>470_68</t>
  </si>
  <si>
    <t>East Knox Elementary</t>
  </si>
  <si>
    <t>9315 Rutledge PIKE</t>
  </si>
  <si>
    <t>Mascot</t>
  </si>
  <si>
    <t>470_72</t>
  </si>
  <si>
    <t>Farragut Intermediate</t>
  </si>
  <si>
    <t>208 West End AVE</t>
  </si>
  <si>
    <t>470_75</t>
  </si>
  <si>
    <t>Farragut Middle School</t>
  </si>
  <si>
    <t>200 West End AVE</t>
  </si>
  <si>
    <t>Farragut High School</t>
  </si>
  <si>
    <t>11237 Kingston PIKE</t>
  </si>
  <si>
    <t>470_83</t>
  </si>
  <si>
    <t>Farragut Primary</t>
  </si>
  <si>
    <t>509 North Campbell Station RD</t>
  </si>
  <si>
    <t>470_85</t>
  </si>
  <si>
    <t>Gap Creek Elementary</t>
  </si>
  <si>
    <t>1920 Kimberlin Hts RD</t>
  </si>
  <si>
    <t>470_87</t>
  </si>
  <si>
    <t>Fountain City Elementary</t>
  </si>
  <si>
    <t>2910 Montbelle DR</t>
  </si>
  <si>
    <t>Fulton High School</t>
  </si>
  <si>
    <t>2509 North Broadway</t>
  </si>
  <si>
    <t>470_95</t>
  </si>
  <si>
    <t>Gibbs Elementary</t>
  </si>
  <si>
    <t>7715 Tazewell PIKE</t>
  </si>
  <si>
    <t>Gibbs High School</t>
  </si>
  <si>
    <t>7628 Tazewell PIKE</t>
  </si>
  <si>
    <t>470_110</t>
  </si>
  <si>
    <t>Halls Elementary</t>
  </si>
  <si>
    <t>7502 Andersonville PIKE</t>
  </si>
  <si>
    <t>470_112</t>
  </si>
  <si>
    <t>Green Magnet Math And Science Academy</t>
  </si>
  <si>
    <t>801 Townview DR</t>
  </si>
  <si>
    <t>Halls High School</t>
  </si>
  <si>
    <t>4321 East Emory RD</t>
  </si>
  <si>
    <t>470_117</t>
  </si>
  <si>
    <t>Gresham Middle School</t>
  </si>
  <si>
    <t>500 Gresham RD</t>
  </si>
  <si>
    <t>470_120</t>
  </si>
  <si>
    <t>Halls Middle School</t>
  </si>
  <si>
    <t>4317 East Emory RD</t>
  </si>
  <si>
    <t>470_122</t>
  </si>
  <si>
    <t>Holston Middle School</t>
  </si>
  <si>
    <t>600 Chilhowee DR</t>
  </si>
  <si>
    <t>470_124</t>
  </si>
  <si>
    <t>Hardin Valley Elementary</t>
  </si>
  <si>
    <t>11445 Hardin Valley RD</t>
  </si>
  <si>
    <t>Hardin Valley Academy</t>
  </si>
  <si>
    <t>11345 Hardin Valley RD</t>
  </si>
  <si>
    <t>470_138</t>
  </si>
  <si>
    <t>Inskip Elementary</t>
  </si>
  <si>
    <t>4701 High School ST</t>
  </si>
  <si>
    <t>470_145</t>
  </si>
  <si>
    <t>Karns Elementary</t>
  </si>
  <si>
    <t>8108 Beaver Ridge RD</t>
  </si>
  <si>
    <t>470_147</t>
  </si>
  <si>
    <t>Karns Middle School</t>
  </si>
  <si>
    <t>2925 Gray Hendrix RD</t>
  </si>
  <si>
    <t>Karns High School</t>
  </si>
  <si>
    <t>2710 Byington Solway RD</t>
  </si>
  <si>
    <t>Knox Adaptive Education Center</t>
  </si>
  <si>
    <t>5719 Kingston PIKE</t>
  </si>
  <si>
    <t>470_165</t>
  </si>
  <si>
    <t>Lonsdale Elementary</t>
  </si>
  <si>
    <t>1317 Louisiana AVE</t>
  </si>
  <si>
    <t>470_168</t>
  </si>
  <si>
    <t>Maynard Elementary</t>
  </si>
  <si>
    <t>737 College ST</t>
  </si>
  <si>
    <t>470_170</t>
  </si>
  <si>
    <t>Mt Olive Elementary</t>
  </si>
  <si>
    <t>2507 Maryville Pike S W</t>
  </si>
  <si>
    <t>470_172</t>
  </si>
  <si>
    <t>Mooreland Heights Elementary</t>
  </si>
  <si>
    <t>5315 Magazine RD</t>
  </si>
  <si>
    <t>470_175</t>
  </si>
  <si>
    <t>New Hopewell Elementary</t>
  </si>
  <si>
    <t>757 Kimberlin Hgts RD</t>
  </si>
  <si>
    <t>470_177</t>
  </si>
  <si>
    <t>1909 Merchant DR</t>
  </si>
  <si>
    <t>470_180</t>
  </si>
  <si>
    <t>Powell Elementary</t>
  </si>
  <si>
    <t>1711 Spring ST</t>
  </si>
  <si>
    <t>470_182</t>
  </si>
  <si>
    <t>Powell Middle School</t>
  </si>
  <si>
    <t>3329 West Emory RD</t>
  </si>
  <si>
    <t>Powell High School</t>
  </si>
  <si>
    <t>2136 West Emory RD</t>
  </si>
  <si>
    <t>470_187</t>
  </si>
  <si>
    <t>Northwest Middle School</t>
  </si>
  <si>
    <t>5301 Pleasant Ridge RD</t>
  </si>
  <si>
    <t>470_195</t>
  </si>
  <si>
    <t>Ritta Elementary</t>
  </si>
  <si>
    <t>6228 Washington PIKE</t>
  </si>
  <si>
    <t>470_202</t>
  </si>
  <si>
    <t>Pleasant Ridge Elementary</t>
  </si>
  <si>
    <t>3013 Walnoaks RD</t>
  </si>
  <si>
    <t>470_207</t>
  </si>
  <si>
    <t>Pond Gap Elementary</t>
  </si>
  <si>
    <t>4530 Papermill DR</t>
  </si>
  <si>
    <t>470_210</t>
  </si>
  <si>
    <t>Sunnyview Primary</t>
  </si>
  <si>
    <t>412 Bagwell RD</t>
  </si>
  <si>
    <t>470_235</t>
  </si>
  <si>
    <t>Rocky Hill Elementary</t>
  </si>
  <si>
    <t>1200 Morrell RD</t>
  </si>
  <si>
    <t>470_250</t>
  </si>
  <si>
    <t>Sarah Moore Greene Magnet Technology Academy</t>
  </si>
  <si>
    <t>3001 Brooks RD</t>
  </si>
  <si>
    <t>470_255</t>
  </si>
  <si>
    <t>Sequoyah Elementary</t>
  </si>
  <si>
    <t>942 Southgate RD</t>
  </si>
  <si>
    <t>470_260</t>
  </si>
  <si>
    <t>Shannondale Elementary</t>
  </si>
  <si>
    <t>5316 Shannondale RD</t>
  </si>
  <si>
    <t>470_265</t>
  </si>
  <si>
    <t>South Knox Elementary</t>
  </si>
  <si>
    <t>801 Sevier AVE</t>
  </si>
  <si>
    <t>470_280</t>
  </si>
  <si>
    <t>4711 Mildred DR</t>
  </si>
  <si>
    <t>470_285</t>
  </si>
  <si>
    <t>Sterchi Elementary</t>
  </si>
  <si>
    <t>900 Oaklett DR</t>
  </si>
  <si>
    <t>470_295</t>
  </si>
  <si>
    <t>Vine Middle/Magnet</t>
  </si>
  <si>
    <t>1807 Martin Luther King Jr AVE</t>
  </si>
  <si>
    <t>470_300</t>
  </si>
  <si>
    <t>West Haven Elementary</t>
  </si>
  <si>
    <t>3620 Sisk RD</t>
  </si>
  <si>
    <t>West High School</t>
  </si>
  <si>
    <t>3300 Sutherland AVE</t>
  </si>
  <si>
    <t>470_310</t>
  </si>
  <si>
    <t>West Hills Elementary</t>
  </si>
  <si>
    <t>409 Vanosdale RD</t>
  </si>
  <si>
    <t>470_313</t>
  </si>
  <si>
    <t>West Valley Middle School</t>
  </si>
  <si>
    <t>9118 George Williams RD</t>
  </si>
  <si>
    <t>470_315</t>
  </si>
  <si>
    <t>West View Elementary</t>
  </si>
  <si>
    <t>1714 Mingle AVE</t>
  </si>
  <si>
    <t>470_320</t>
  </si>
  <si>
    <t>Whittle Springs Middle School</t>
  </si>
  <si>
    <t>2700 White Oak LN</t>
  </si>
  <si>
    <t>Dr. Paul L. Kelley Volunteer Academy</t>
  </si>
  <si>
    <t>3001 Knox Center DR</t>
  </si>
  <si>
    <t>L N STEM Academy</t>
  </si>
  <si>
    <t>401 Henley ST</t>
  </si>
  <si>
    <t>470_336</t>
  </si>
  <si>
    <t>Northshore Elementary School</t>
  </si>
  <si>
    <t>1889 Thunderhead RD</t>
  </si>
  <si>
    <t>Career Magnet Academy</t>
  </si>
  <si>
    <t>7201 Strawberry Plains PIKE</t>
  </si>
  <si>
    <t>470_8001</t>
  </si>
  <si>
    <t>Emerald Academy</t>
  </si>
  <si>
    <t>220 Carrick ST</t>
  </si>
  <si>
    <t>Lake Co High School</t>
  </si>
  <si>
    <t>300 Cochran ST</t>
  </si>
  <si>
    <t>Tiptonville</t>
  </si>
  <si>
    <t>480_10</t>
  </si>
  <si>
    <t>Lara Kendall Elementary</t>
  </si>
  <si>
    <t>200 College ST</t>
  </si>
  <si>
    <t>Ridgely</t>
  </si>
  <si>
    <t>480_15</t>
  </si>
  <si>
    <t>Margaret Newton Elementary</t>
  </si>
  <si>
    <t>819 Church ST</t>
  </si>
  <si>
    <t>490_20</t>
  </si>
  <si>
    <t>Halls Elementary School</t>
  </si>
  <si>
    <t>601 Carmen ST</t>
  </si>
  <si>
    <t>Halls</t>
  </si>
  <si>
    <t>800 West Tigrett ST</t>
  </si>
  <si>
    <t>490_24</t>
  </si>
  <si>
    <t>Halls Junior High School</t>
  </si>
  <si>
    <t>490_25</t>
  </si>
  <si>
    <t>Ripley Middle School</t>
  </si>
  <si>
    <t>309 Charles Griggs AVE</t>
  </si>
  <si>
    <t>Ripley</t>
  </si>
  <si>
    <t>Ripley High School</t>
  </si>
  <si>
    <t>254 Jefferson ST</t>
  </si>
  <si>
    <t>490_50</t>
  </si>
  <si>
    <t>Ripley Primary</t>
  </si>
  <si>
    <t>225 Volz RD</t>
  </si>
  <si>
    <t>490_55</t>
  </si>
  <si>
    <t>Ripley Elementary</t>
  </si>
  <si>
    <t>100 Hwy 19 East AVE</t>
  </si>
  <si>
    <t>500_13</t>
  </si>
  <si>
    <t>E O Coffman Middle School</t>
  </si>
  <si>
    <t>111 Lafayette AVE</t>
  </si>
  <si>
    <t>Lawrenceburg</t>
  </si>
  <si>
    <t>500_15</t>
  </si>
  <si>
    <t>David Crockett Elementary</t>
  </si>
  <si>
    <t>2301 Waynesboro HWY</t>
  </si>
  <si>
    <t>500_20</t>
  </si>
  <si>
    <t>Ethridge Elementary</t>
  </si>
  <si>
    <t>33 Main ST</t>
  </si>
  <si>
    <t>Ethridge</t>
  </si>
  <si>
    <t>500_30</t>
  </si>
  <si>
    <t>Ingram Sowell Elementary</t>
  </si>
  <si>
    <t>510 Seventh ST</t>
  </si>
  <si>
    <t>Lawrence Co High School</t>
  </si>
  <si>
    <t>1800 Springer RD</t>
  </si>
  <si>
    <t>500_45</t>
  </si>
  <si>
    <t>Lawrenceburg Public</t>
  </si>
  <si>
    <t>600 Prosser RD</t>
  </si>
  <si>
    <t>500_50</t>
  </si>
  <si>
    <t>Leoma Elementary</t>
  </si>
  <si>
    <t>2612 Hwy 43 South</t>
  </si>
  <si>
    <t>Leoma</t>
  </si>
  <si>
    <t>500_60</t>
  </si>
  <si>
    <t>South Lawrence Elementary</t>
  </si>
  <si>
    <t>707 2nd Avenue South</t>
  </si>
  <si>
    <t>Loretto</t>
  </si>
  <si>
    <t>Loretto High School</t>
  </si>
  <si>
    <t>525 Second South AVE</t>
  </si>
  <si>
    <t>500_70</t>
  </si>
  <si>
    <t>New Prospect Elementary</t>
  </si>
  <si>
    <t>4520 Pulaski HWY</t>
  </si>
  <si>
    <t>500_90</t>
  </si>
  <si>
    <t>Summertown Elementary</t>
  </si>
  <si>
    <t>319 Corbin ST</t>
  </si>
  <si>
    <t>Summertown</t>
  </si>
  <si>
    <t>Summertown High School</t>
  </si>
  <si>
    <t>411 College ST</t>
  </si>
  <si>
    <t>510_3</t>
  </si>
  <si>
    <t>Lewis County Middle School</t>
  </si>
  <si>
    <t>207 South Court ST</t>
  </si>
  <si>
    <t>Hohenwald</t>
  </si>
  <si>
    <t>510_7</t>
  </si>
  <si>
    <t>Lewis County Elementary</t>
  </si>
  <si>
    <t>305 South Oak ST</t>
  </si>
  <si>
    <t>Lewis Co High School</t>
  </si>
  <si>
    <t>818 West Main ST</t>
  </si>
  <si>
    <t>510_20</t>
  </si>
  <si>
    <t>Lewis County Intermediate School</t>
  </si>
  <si>
    <t>310 Park Avenue South</t>
  </si>
  <si>
    <t>520_10</t>
  </si>
  <si>
    <t>Blanche School</t>
  </si>
  <si>
    <t>1649 Ardmore HWY</t>
  </si>
  <si>
    <t>Taft</t>
  </si>
  <si>
    <t>520_25</t>
  </si>
  <si>
    <t>Lincoln County Ninth Grade Academy</t>
  </si>
  <si>
    <t>900 Main Avenue South</t>
  </si>
  <si>
    <t>520_45</t>
  </si>
  <si>
    <t>Flintville School</t>
  </si>
  <si>
    <t>37 Flintville School RD</t>
  </si>
  <si>
    <t>Flintville</t>
  </si>
  <si>
    <t>520_50</t>
  </si>
  <si>
    <t>Highland Rim School</t>
  </si>
  <si>
    <t>111 Highland Rim RD</t>
  </si>
  <si>
    <t>Lincoln County High School</t>
  </si>
  <si>
    <t>1233 Huntsville HWY</t>
  </si>
  <si>
    <t>520_82</t>
  </si>
  <si>
    <t>South Lincoln School</t>
  </si>
  <si>
    <t>362 Smith Mill RD</t>
  </si>
  <si>
    <t>520_90</t>
  </si>
  <si>
    <t>Unity School</t>
  </si>
  <si>
    <t>259 Boonshill-Petersburg</t>
  </si>
  <si>
    <t>Petersburg</t>
  </si>
  <si>
    <t>521_7</t>
  </si>
  <si>
    <t>Fayetteville Middle School</t>
  </si>
  <si>
    <t>1800 A Wilson PKWY</t>
  </si>
  <si>
    <t>Fayetteville High School</t>
  </si>
  <si>
    <t>1800 Wilson PKWY</t>
  </si>
  <si>
    <t>521_20</t>
  </si>
  <si>
    <t>Ralph Askins School</t>
  </si>
  <si>
    <t>901 Shady LN</t>
  </si>
  <si>
    <t>530_15</t>
  </si>
  <si>
    <t>Eaton Elementary</t>
  </si>
  <si>
    <t>423 Hickory Creek RD</t>
  </si>
  <si>
    <t>530_18</t>
  </si>
  <si>
    <t>Ft Loudoun Middle School</t>
  </si>
  <si>
    <t>1083 Mulberry ST</t>
  </si>
  <si>
    <t>Loudon</t>
  </si>
  <si>
    <t>Greenback School</t>
  </si>
  <si>
    <t>6945 Morganton RD</t>
  </si>
  <si>
    <t>Greenback</t>
  </si>
  <si>
    <t>530_30</t>
  </si>
  <si>
    <t>Highland Park Elementary</t>
  </si>
  <si>
    <t>4404 Hwy 11 E</t>
  </si>
  <si>
    <t>530_35</t>
  </si>
  <si>
    <t>Loudon Elementary</t>
  </si>
  <si>
    <t>2175 Roberts RD</t>
  </si>
  <si>
    <t>Loudon High School</t>
  </si>
  <si>
    <t>1039 Mulberry ST</t>
  </si>
  <si>
    <t>530_48</t>
  </si>
  <si>
    <t>421 Hickory Creek RD</t>
  </si>
  <si>
    <t>530_50</t>
  </si>
  <si>
    <t>Philadelphia Elementary</t>
  </si>
  <si>
    <t>300 Spring ST</t>
  </si>
  <si>
    <t>Philadelphia</t>
  </si>
  <si>
    <t>530_55</t>
  </si>
  <si>
    <t>Steekee Elementary</t>
  </si>
  <si>
    <t>4500 Steekee School RD</t>
  </si>
  <si>
    <t>Lenoir City High School</t>
  </si>
  <si>
    <t>1485 Old Hwy 95</t>
  </si>
  <si>
    <t>531_10</t>
  </si>
  <si>
    <t>Lenoir City Intermediate/Middle School</t>
  </si>
  <si>
    <t>2141 Harrison AVE</t>
  </si>
  <si>
    <t>531_30</t>
  </si>
  <si>
    <t>Lenoir City Elementary</t>
  </si>
  <si>
    <t>203 Kelly LN</t>
  </si>
  <si>
    <t>540_10</t>
  </si>
  <si>
    <t>Calhoun Elementary</t>
  </si>
  <si>
    <t>150 Sherwood AVE</t>
  </si>
  <si>
    <t>Calhoun</t>
  </si>
  <si>
    <t>145 Co Road 461</t>
  </si>
  <si>
    <t>Englewood</t>
  </si>
  <si>
    <t>540_25</t>
  </si>
  <si>
    <t>E K Baker Elementary</t>
  </si>
  <si>
    <t>1044 Co 172 RD</t>
  </si>
  <si>
    <t>Athens</t>
  </si>
  <si>
    <t>540_30</t>
  </si>
  <si>
    <t>Englewood Elementary</t>
  </si>
  <si>
    <t>108 College ST</t>
  </si>
  <si>
    <t>McMinn High School</t>
  </si>
  <si>
    <t>2215 Congress Pkwy</t>
  </si>
  <si>
    <t>540_50</t>
  </si>
  <si>
    <t>Mountain View Elementary</t>
  </si>
  <si>
    <t>145 Co Road 627</t>
  </si>
  <si>
    <t>Etowah</t>
  </si>
  <si>
    <t>540_55</t>
  </si>
  <si>
    <t>Niota Elementary</t>
  </si>
  <si>
    <t>418 Burn RD</t>
  </si>
  <si>
    <t>Niota</t>
  </si>
  <si>
    <t>540_60</t>
  </si>
  <si>
    <t>Riceville Elementary</t>
  </si>
  <si>
    <t>3592 Hwy 11 South</t>
  </si>
  <si>
    <t>Riceville</t>
  </si>
  <si>
    <t>540_65</t>
  </si>
  <si>
    <t>Rogers Creek Elementary</t>
  </si>
  <si>
    <t>137 County Road 82</t>
  </si>
  <si>
    <t>541_5</t>
  </si>
  <si>
    <t>Athens City Middle School</t>
  </si>
  <si>
    <t>200 Keith LN</t>
  </si>
  <si>
    <t>541_10</t>
  </si>
  <si>
    <t>City Park Elementary</t>
  </si>
  <si>
    <t>203 Keith LN</t>
  </si>
  <si>
    <t>541_20</t>
  </si>
  <si>
    <t>Ingleside Elementary</t>
  </si>
  <si>
    <t>200 Guille ST</t>
  </si>
  <si>
    <t>541_25</t>
  </si>
  <si>
    <t>North City Elementary</t>
  </si>
  <si>
    <t>1601 Palos ST</t>
  </si>
  <si>
    <t>541_30</t>
  </si>
  <si>
    <t>Westside Elementary</t>
  </si>
  <si>
    <t>700 Westside ST</t>
  </si>
  <si>
    <t>542_7</t>
  </si>
  <si>
    <t>Etowah Elementary</t>
  </si>
  <si>
    <t>858 Eighth ST</t>
  </si>
  <si>
    <t>550_5</t>
  </si>
  <si>
    <t>Adamsville Elementary</t>
  </si>
  <si>
    <t>220 South Elm</t>
  </si>
  <si>
    <t>Adamsville Junior / Senior High School</t>
  </si>
  <si>
    <t>815 West Main</t>
  </si>
  <si>
    <t>550_15</t>
  </si>
  <si>
    <t>Bethel Springs Elementary</t>
  </si>
  <si>
    <t>4733 Main</t>
  </si>
  <si>
    <t>Bethel Springs</t>
  </si>
  <si>
    <t>McNairy Central High School</t>
  </si>
  <si>
    <t>493 High School Road</t>
  </si>
  <si>
    <t>Selmer</t>
  </si>
  <si>
    <t>550_25</t>
  </si>
  <si>
    <t>Michie Elementary</t>
  </si>
  <si>
    <t>6418 Hwy 57 East</t>
  </si>
  <si>
    <t>Michie</t>
  </si>
  <si>
    <t>550_30</t>
  </si>
  <si>
    <t>Ramer Elementary</t>
  </si>
  <si>
    <t>4173 Hwy 57 West</t>
  </si>
  <si>
    <t>Ramer</t>
  </si>
  <si>
    <t>550_40</t>
  </si>
  <si>
    <t>Selmer Elementary</t>
  </si>
  <si>
    <t>533 East Poplar Avenue</t>
  </si>
  <si>
    <t>550_45</t>
  </si>
  <si>
    <t>Selmer Middle School</t>
  </si>
  <si>
    <t>635 East Poplar Avenue</t>
  </si>
  <si>
    <t>560_5</t>
  </si>
  <si>
    <t>905 Sycamore ST</t>
  </si>
  <si>
    <t>Lafayette</t>
  </si>
  <si>
    <t>560_15</t>
  </si>
  <si>
    <t>Fairlane Elementary</t>
  </si>
  <si>
    <t>305 Fairlane DR</t>
  </si>
  <si>
    <t>560_20</t>
  </si>
  <si>
    <t>Macon County Junior High School</t>
  </si>
  <si>
    <t>1003 Hwy 52 By Pass East</t>
  </si>
  <si>
    <t>Macon County High School</t>
  </si>
  <si>
    <t>2550 Days RD</t>
  </si>
  <si>
    <t>560_22</t>
  </si>
  <si>
    <t>Lafayette Elementary School</t>
  </si>
  <si>
    <t>401 Meador DR</t>
  </si>
  <si>
    <t>560_25</t>
  </si>
  <si>
    <t>Red Boiling Springs Elementary</t>
  </si>
  <si>
    <t>417 Hillcrest DR</t>
  </si>
  <si>
    <t>Red Boiling Springs School</t>
  </si>
  <si>
    <t>415 Hillcrest DR</t>
  </si>
  <si>
    <t>Red Boiling Spg</t>
  </si>
  <si>
    <t>560_35</t>
  </si>
  <si>
    <t>8025 Old Highway 52</t>
  </si>
  <si>
    <t>Westmoreland</t>
  </si>
  <si>
    <t>570_6</t>
  </si>
  <si>
    <t>Alexander Elementary School</t>
  </si>
  <si>
    <t>900 N Highland AVE</t>
  </si>
  <si>
    <t>Jackson</t>
  </si>
  <si>
    <t>570_14</t>
  </si>
  <si>
    <t>Arlington Elementary School</t>
  </si>
  <si>
    <t>701 Arlington AVE</t>
  </si>
  <si>
    <t>570_21</t>
  </si>
  <si>
    <t>Denmark Elementary</t>
  </si>
  <si>
    <t>1945 Denmark RD</t>
  </si>
  <si>
    <t>Denmark</t>
  </si>
  <si>
    <t>570_22</t>
  </si>
  <si>
    <t>Jackson Central-Merry Early College High</t>
  </si>
  <si>
    <t>215 Allen AVE</t>
  </si>
  <si>
    <t>570_24</t>
  </si>
  <si>
    <t>Rose Hill School</t>
  </si>
  <si>
    <t>2233 Beech Bluff RD</t>
  </si>
  <si>
    <t>570_38</t>
  </si>
  <si>
    <t>Isaac Lane Technology Magnet Elementary</t>
  </si>
  <si>
    <t>746 Lexington ST</t>
  </si>
  <si>
    <t>Liberty Technology Magnet High School</t>
  </si>
  <si>
    <t>3470 Ridgecrest Road Extended</t>
  </si>
  <si>
    <t>570_56</t>
  </si>
  <si>
    <t>Lincoln Elementary School</t>
  </si>
  <si>
    <t>425 Berry ST</t>
  </si>
  <si>
    <t>Madison Academic Magnet High School</t>
  </si>
  <si>
    <t>179 Allen AVE</t>
  </si>
  <si>
    <t>North Side High School</t>
  </si>
  <si>
    <t>3066 North Highland</t>
  </si>
  <si>
    <t>570_76</t>
  </si>
  <si>
    <t>Northeast Middle School</t>
  </si>
  <si>
    <t>2665 Christmasville RD</t>
  </si>
  <si>
    <t>570_86</t>
  </si>
  <si>
    <t>Community Montessori School</t>
  </si>
  <si>
    <t>716 Westwood AVE</t>
  </si>
  <si>
    <t>570_100</t>
  </si>
  <si>
    <t>Pope School</t>
  </si>
  <si>
    <t>1071 Old Humboldt RD</t>
  </si>
  <si>
    <t>570_102</t>
  </si>
  <si>
    <t>South Elementary</t>
  </si>
  <si>
    <t>570 Stone RD</t>
  </si>
  <si>
    <t>Pinson</t>
  </si>
  <si>
    <t>South Side High School</t>
  </si>
  <si>
    <t>84 Harts Bridge RD</t>
  </si>
  <si>
    <t>570_111</t>
  </si>
  <si>
    <t>Thelma Barker Elementary</t>
  </si>
  <si>
    <t>1470 Ashport RD</t>
  </si>
  <si>
    <t>570_130</t>
  </si>
  <si>
    <t>West-Bemis Middle School</t>
  </si>
  <si>
    <t>230 D ST</t>
  </si>
  <si>
    <t>570_140</t>
  </si>
  <si>
    <t>2480 Ashport RD</t>
  </si>
  <si>
    <t>570_142</t>
  </si>
  <si>
    <t>North Parkway Middle School</t>
  </si>
  <si>
    <t>1341 North PKWY</t>
  </si>
  <si>
    <t>570_144</t>
  </si>
  <si>
    <t>Jackson Career Technology Magnet Elementary</t>
  </si>
  <si>
    <t>668 Lexington AVE</t>
  </si>
  <si>
    <t>570_146</t>
  </si>
  <si>
    <t>Andrew Jackson Elementary School</t>
  </si>
  <si>
    <t>211 Old Hickory BLVD</t>
  </si>
  <si>
    <t>580_21</t>
  </si>
  <si>
    <t>Jasper Elementary School</t>
  </si>
  <si>
    <t>495 Warrior DR</t>
  </si>
  <si>
    <t>Jasper</t>
  </si>
  <si>
    <t>580_23</t>
  </si>
  <si>
    <t>Jasper Middle School</t>
  </si>
  <si>
    <t>601 Elm Avenue</t>
  </si>
  <si>
    <t>Marion Co High School</t>
  </si>
  <si>
    <t>160 Ridley DR</t>
  </si>
  <si>
    <t>580_30</t>
  </si>
  <si>
    <t>Monteagle Elementary</t>
  </si>
  <si>
    <t>120 East Main ST</t>
  </si>
  <si>
    <t>Monteagle</t>
  </si>
  <si>
    <t>580_50</t>
  </si>
  <si>
    <t>South Pittsburg Elementary</t>
  </si>
  <si>
    <t>310 Elm AVE</t>
  </si>
  <si>
    <t>South Pittsburg</t>
  </si>
  <si>
    <t>South Pittsburg High School</t>
  </si>
  <si>
    <t>717 Elm AVE</t>
  </si>
  <si>
    <t>580_63</t>
  </si>
  <si>
    <t>Whitwell Elementary</t>
  </si>
  <si>
    <t>150 Tiger Trail</t>
  </si>
  <si>
    <t>Whitwell</t>
  </si>
  <si>
    <t>580_65</t>
  </si>
  <si>
    <t>Whitwell Middle School</t>
  </si>
  <si>
    <t>1 Butterfly LN</t>
  </si>
  <si>
    <t>Whitwell High School</t>
  </si>
  <si>
    <t>200 Tiger TRL</t>
  </si>
  <si>
    <t>580_80</t>
  </si>
  <si>
    <t>Marion Virtual High School</t>
  </si>
  <si>
    <t>204 Betsy Pack DR</t>
  </si>
  <si>
    <t>Richard Hardy Memorial School</t>
  </si>
  <si>
    <t>1620 Hamilton Avenue</t>
  </si>
  <si>
    <t>590_7</t>
  </si>
  <si>
    <t>Chapel Hill Elementary</t>
  </si>
  <si>
    <t>415 S Horton PKWY</t>
  </si>
  <si>
    <t>Chapel Hill</t>
  </si>
  <si>
    <t>590_18</t>
  </si>
  <si>
    <t>Cornersville Elementary</t>
  </si>
  <si>
    <t>485 North Main ST</t>
  </si>
  <si>
    <t>Cornersville</t>
  </si>
  <si>
    <t>Cornersville School</t>
  </si>
  <si>
    <t>323 S Main ST</t>
  </si>
  <si>
    <t>Forrest School</t>
  </si>
  <si>
    <t>310 North Horton PKWY</t>
  </si>
  <si>
    <t>590_41</t>
  </si>
  <si>
    <t>Lewisburg Middle School</t>
  </si>
  <si>
    <t>500 Tiger BLVD</t>
  </si>
  <si>
    <t>Lewisburg</t>
  </si>
  <si>
    <t>590_43</t>
  </si>
  <si>
    <t>Marshall Elementary</t>
  </si>
  <si>
    <t>401 Tiger DR</t>
  </si>
  <si>
    <t>Marshall Co High School</t>
  </si>
  <si>
    <t>661 W Ellington PKWY</t>
  </si>
  <si>
    <t>590_51</t>
  </si>
  <si>
    <t>Oak Grove Elementary</t>
  </si>
  <si>
    <t>1645 Franklin PIKE</t>
  </si>
  <si>
    <t>590_60</t>
  </si>
  <si>
    <t>Westhills Elementary</t>
  </si>
  <si>
    <t>1351 N Ellington PKWY</t>
  </si>
  <si>
    <t>590_65</t>
  </si>
  <si>
    <t>Delk-Henson Intermediate School</t>
  </si>
  <si>
    <t>425 South Horton PKWY</t>
  </si>
  <si>
    <t>600_5</t>
  </si>
  <si>
    <t>J. R. Baker Elementary</t>
  </si>
  <si>
    <t>1301 Hamphire PIKE</t>
  </si>
  <si>
    <t>Columbia</t>
  </si>
  <si>
    <t>600_10</t>
  </si>
  <si>
    <t>J. Brown Elementary</t>
  </si>
  <si>
    <t>301 Cord DR</t>
  </si>
  <si>
    <t>Columbia Central High School</t>
  </si>
  <si>
    <t>921 Lion PKWY</t>
  </si>
  <si>
    <t>Culleoka Unit School</t>
  </si>
  <si>
    <t>1921 Warrior LN</t>
  </si>
  <si>
    <t>Culleoka</t>
  </si>
  <si>
    <t>600_33</t>
  </si>
  <si>
    <t>E. A. Cox Middle School</t>
  </si>
  <si>
    <t>633 Bear Creek PIKE</t>
  </si>
  <si>
    <t>Hampshire Unit School</t>
  </si>
  <si>
    <t>4235 Old State RD</t>
  </si>
  <si>
    <t>Hampshire</t>
  </si>
  <si>
    <t>600_45</t>
  </si>
  <si>
    <t>1606 Highland AVE</t>
  </si>
  <si>
    <t>600_50</t>
  </si>
  <si>
    <t>J E Woodard Elementary</t>
  </si>
  <si>
    <t>207 Rutherford LN</t>
  </si>
  <si>
    <t>600_53</t>
  </si>
  <si>
    <t>Marvin Wright Elementary School</t>
  </si>
  <si>
    <t>4714 Derryberry LN</t>
  </si>
  <si>
    <t>Spring Hill</t>
  </si>
  <si>
    <t>600_55</t>
  </si>
  <si>
    <t>McDowell Elementary</t>
  </si>
  <si>
    <t>714 West 7th ST</t>
  </si>
  <si>
    <t>600_59</t>
  </si>
  <si>
    <t>J E Woody Elementary</t>
  </si>
  <si>
    <t>600 North Locust ST</t>
  </si>
  <si>
    <t>Mt Pleasant</t>
  </si>
  <si>
    <t>600_61</t>
  </si>
  <si>
    <t>Mt. Pleasant Middle Visual Perform. Arts</t>
  </si>
  <si>
    <t>410 Gray LN</t>
  </si>
  <si>
    <t>Mt. Pleasant</t>
  </si>
  <si>
    <t>Mt Pleasant High School</t>
  </si>
  <si>
    <t>600 North Greenwood AVE</t>
  </si>
  <si>
    <t>600_68</t>
  </si>
  <si>
    <t>R Howell Elementary</t>
  </si>
  <si>
    <t>653 Bear Creek PIKE</t>
  </si>
  <si>
    <t>600_70</t>
  </si>
  <si>
    <t>Riverside Elementary</t>
  </si>
  <si>
    <t>203 Carter ST</t>
  </si>
  <si>
    <t>Santa Fe Unit School</t>
  </si>
  <si>
    <t>2629 Santa Fe PIKE</t>
  </si>
  <si>
    <t>Santa Fe</t>
  </si>
  <si>
    <t>600_90</t>
  </si>
  <si>
    <t>5359 S Main ST</t>
  </si>
  <si>
    <t>Spring Hill High School</t>
  </si>
  <si>
    <t>One Raider LN</t>
  </si>
  <si>
    <t>600_100</t>
  </si>
  <si>
    <t>Whitthorne Middle School</t>
  </si>
  <si>
    <t>915 Lion PKWY</t>
  </si>
  <si>
    <t>600_105</t>
  </si>
  <si>
    <t>Spring Hill Middle School</t>
  </si>
  <si>
    <t>3501 Cleburne RD</t>
  </si>
  <si>
    <t>Northfield Academy</t>
  </si>
  <si>
    <t>500 Northfield LN</t>
  </si>
  <si>
    <t>610_5</t>
  </si>
  <si>
    <t>Meigs South Elementary</t>
  </si>
  <si>
    <t>9638 State Highway 58 S</t>
  </si>
  <si>
    <t>Decatur</t>
  </si>
  <si>
    <t>610_8</t>
  </si>
  <si>
    <t>Meigs Middle School</t>
  </si>
  <si>
    <t>586 North Main</t>
  </si>
  <si>
    <t>610_15</t>
  </si>
  <si>
    <t>Meigs North Elementary</t>
  </si>
  <si>
    <t>22015 State Highway 58 N</t>
  </si>
  <si>
    <t>Meigs County High School</t>
  </si>
  <si>
    <t>105 Abel Avenue</t>
  </si>
  <si>
    <t>620_10</t>
  </si>
  <si>
    <t>Coker Creek Elementary</t>
  </si>
  <si>
    <t>130 Ruritan RD</t>
  </si>
  <si>
    <t>Tellico Plains</t>
  </si>
  <si>
    <t>620_18</t>
  </si>
  <si>
    <t>Madisonville Intermediate School</t>
  </si>
  <si>
    <t>1000 Green RD</t>
  </si>
  <si>
    <t>Madisonville</t>
  </si>
  <si>
    <t>620_20</t>
  </si>
  <si>
    <t>Madisonville Middle School</t>
  </si>
  <si>
    <t>175 Oak Grove RD</t>
  </si>
  <si>
    <t>620_25</t>
  </si>
  <si>
    <t>Madisonville Primary</t>
  </si>
  <si>
    <t>268 Warren ST</t>
  </si>
  <si>
    <t>620_35</t>
  </si>
  <si>
    <t>Rural Vale Elementary</t>
  </si>
  <si>
    <t>395 Daugherty Springs RD</t>
  </si>
  <si>
    <t>3128 Hwy 411</t>
  </si>
  <si>
    <t>Sweetwater High School</t>
  </si>
  <si>
    <t>414 South High ST</t>
  </si>
  <si>
    <t>Sweetwater</t>
  </si>
  <si>
    <t>620_45</t>
  </si>
  <si>
    <t>Tellico Plains Elementary</t>
  </si>
  <si>
    <t>121 Old High School RD</t>
  </si>
  <si>
    <t>Tellico Plains High School</t>
  </si>
  <si>
    <t>9180 Hwy 68</t>
  </si>
  <si>
    <t>620_53</t>
  </si>
  <si>
    <t>Tellico Plains Junior High School</t>
  </si>
  <si>
    <t>120 Old High School RD</t>
  </si>
  <si>
    <t>620_55</t>
  </si>
  <si>
    <t>Vonore Elementary</t>
  </si>
  <si>
    <t>1135 Hwy 411</t>
  </si>
  <si>
    <t>Vonore</t>
  </si>
  <si>
    <t>620_58</t>
  </si>
  <si>
    <t>Vonore Middle School</t>
  </si>
  <si>
    <t>414 Hall ST</t>
  </si>
  <si>
    <t>621_5</t>
  </si>
  <si>
    <t>Brown Intermediate School</t>
  </si>
  <si>
    <t>135 Starrett ST</t>
  </si>
  <si>
    <t>621_10</t>
  </si>
  <si>
    <t>Sweetwater Elementary</t>
  </si>
  <si>
    <t>301 Broad ST</t>
  </si>
  <si>
    <t>621_15</t>
  </si>
  <si>
    <t>Sweetwater Jr High School</t>
  </si>
  <si>
    <t>1013 Cannon AVE</t>
  </si>
  <si>
    <t>621_30</t>
  </si>
  <si>
    <t>Sweetwater Primary School</t>
  </si>
  <si>
    <t>500 Highway 322 East</t>
  </si>
  <si>
    <t>630_3</t>
  </si>
  <si>
    <t>Barkers Mill Elementary</t>
  </si>
  <si>
    <t>1230 Little Bobcat LN</t>
  </si>
  <si>
    <t>Clarksville</t>
  </si>
  <si>
    <t>630_5</t>
  </si>
  <si>
    <t>Barksdale Elementary</t>
  </si>
  <si>
    <t>1920 Madison ST</t>
  </si>
  <si>
    <t>630_10</t>
  </si>
  <si>
    <t>Burt Elementary</t>
  </si>
  <si>
    <t>110 Bailey ST</t>
  </si>
  <si>
    <t>630_15</t>
  </si>
  <si>
    <t>Byrns Darden Elementary</t>
  </si>
  <si>
    <t>609 E ST</t>
  </si>
  <si>
    <t>630_17</t>
  </si>
  <si>
    <t>Kenwood Elementary</t>
  </si>
  <si>
    <t>1101 Peachers Mill RD</t>
  </si>
  <si>
    <t>630_18</t>
  </si>
  <si>
    <t>Kenwood Middle</t>
  </si>
  <si>
    <t>241 E Pine Mountain RD</t>
  </si>
  <si>
    <t>Kenwood High</t>
  </si>
  <si>
    <t>251 E Pine Mountain RD</t>
  </si>
  <si>
    <t>630_20</t>
  </si>
  <si>
    <t>Montgomery Central Elementary</t>
  </si>
  <si>
    <t>4011 Highway 48</t>
  </si>
  <si>
    <t>Cunningham</t>
  </si>
  <si>
    <t>Montgomery Central High</t>
  </si>
  <si>
    <t>3955 Highway 48</t>
  </si>
  <si>
    <t>630_27</t>
  </si>
  <si>
    <t>Hazelwood Elementary</t>
  </si>
  <si>
    <t>2623 Tiny Town RD</t>
  </si>
  <si>
    <t>Clarksville High</t>
  </si>
  <si>
    <t>151 Richview RD</t>
  </si>
  <si>
    <t>630_35</t>
  </si>
  <si>
    <t>Glenellen Elementary</t>
  </si>
  <si>
    <t>825 Needmore RD</t>
  </si>
  <si>
    <t>630_40</t>
  </si>
  <si>
    <t>Cumberland Heights Elementary</t>
  </si>
  <si>
    <t>2093 Ussery Rd S</t>
  </si>
  <si>
    <t>630_45</t>
  </si>
  <si>
    <t>East Montgomery Elementary</t>
  </si>
  <si>
    <t>230 McAdoo Creek RD</t>
  </si>
  <si>
    <t>630_49</t>
  </si>
  <si>
    <t>849 S Liberty Church RD</t>
  </si>
  <si>
    <t>630_51</t>
  </si>
  <si>
    <t>Minglewood Elementary</t>
  </si>
  <si>
    <t>215 Cunningham LN</t>
  </si>
  <si>
    <t>630_52</t>
  </si>
  <si>
    <t>Montgomery Central Middle</t>
  </si>
  <si>
    <t>3941 Highway 48</t>
  </si>
  <si>
    <t>630_55</t>
  </si>
  <si>
    <t>Moore Magnet Elementary</t>
  </si>
  <si>
    <t>1350 Madison ST</t>
  </si>
  <si>
    <t>630_60</t>
  </si>
  <si>
    <t>Norman Smith Elementary</t>
  </si>
  <si>
    <t>740 Greenwood AVE</t>
  </si>
  <si>
    <t>630_65</t>
  </si>
  <si>
    <t>New Providence Middle</t>
  </si>
  <si>
    <t>146 Cunningham LN</t>
  </si>
  <si>
    <t>630_66</t>
  </si>
  <si>
    <t>Northeast Elementary</t>
  </si>
  <si>
    <t>3705 Trenton RD</t>
  </si>
  <si>
    <t>630_67</t>
  </si>
  <si>
    <t>Northeast Middle</t>
  </si>
  <si>
    <t>3703 Trenton RD</t>
  </si>
  <si>
    <t>Northeast High</t>
  </si>
  <si>
    <t>3701 Trenton RD</t>
  </si>
  <si>
    <t>Northwest High</t>
  </si>
  <si>
    <t>800 Lafayette RD</t>
  </si>
  <si>
    <t>630_73</t>
  </si>
  <si>
    <t>Richview Middle</t>
  </si>
  <si>
    <t>2350 Memorial DR</t>
  </si>
  <si>
    <t>630_75</t>
  </si>
  <si>
    <t>Ringgold Elementary</t>
  </si>
  <si>
    <t>240 Ringgold RD</t>
  </si>
  <si>
    <t>630_77</t>
  </si>
  <si>
    <t>Rossview Middle</t>
  </si>
  <si>
    <t>2265 Cardinal LN</t>
  </si>
  <si>
    <t>Rossview High</t>
  </si>
  <si>
    <t>1237 Rossview RD</t>
  </si>
  <si>
    <t>630_80</t>
  </si>
  <si>
    <t>St. Bethlehem Elementary</t>
  </si>
  <si>
    <t>2450 Old Russellville PIKE</t>
  </si>
  <si>
    <t>630_83</t>
  </si>
  <si>
    <t>Sango Elementary</t>
  </si>
  <si>
    <t>3585 Sango RD</t>
  </si>
  <si>
    <t>630_84</t>
  </si>
  <si>
    <t>West Creek Middle</t>
  </si>
  <si>
    <t>1200 W Creek Coyote TRL</t>
  </si>
  <si>
    <t>630_85</t>
  </si>
  <si>
    <t>Woodlawn Elementary</t>
  </si>
  <si>
    <t>2250 Woodlawn RD</t>
  </si>
  <si>
    <t>Woodlawn</t>
  </si>
  <si>
    <t>Middle College @ Austin Peay State University</t>
  </si>
  <si>
    <t>601 College ST, Marks Bldg</t>
  </si>
  <si>
    <t>630_90</t>
  </si>
  <si>
    <t>West Creek Elementary</t>
  </si>
  <si>
    <t>1201 W Creek Coyote TRL</t>
  </si>
  <si>
    <t>630_95</t>
  </si>
  <si>
    <t>Carmel Elementary</t>
  </si>
  <si>
    <t>4925 Sango RD</t>
  </si>
  <si>
    <t>West Creek High</t>
  </si>
  <si>
    <t>1210 W Creek Coyote TRL</t>
  </si>
  <si>
    <t>630_105</t>
  </si>
  <si>
    <t>Rossview Elementary</t>
  </si>
  <si>
    <t>2235 Cardinal LN</t>
  </si>
  <si>
    <t>630_110</t>
  </si>
  <si>
    <t>Pisgah Elementary</t>
  </si>
  <si>
    <t>1770 Hazelwood RD</t>
  </si>
  <si>
    <t>630_115</t>
  </si>
  <si>
    <t>1050 Cherry Blossom LN</t>
  </si>
  <si>
    <t>640_10</t>
  </si>
  <si>
    <t>Lynchburg Elementary</t>
  </si>
  <si>
    <t>276 Mechanic Street North</t>
  </si>
  <si>
    <t>Lynchburg</t>
  </si>
  <si>
    <t>Moore County High School</t>
  </si>
  <si>
    <t>1502 Hwy 55</t>
  </si>
  <si>
    <t>650_10</t>
  </si>
  <si>
    <t>1315 Knoxville HWY</t>
  </si>
  <si>
    <t>Wartburg</t>
  </si>
  <si>
    <t>650_13</t>
  </si>
  <si>
    <t>Central Middle School</t>
  </si>
  <si>
    <t>146 Liberty RD</t>
  </si>
  <si>
    <t>1119 Knoxville HWY</t>
  </si>
  <si>
    <t>Coalfield School</t>
  </si>
  <si>
    <t>1720 Coalhill RD</t>
  </si>
  <si>
    <t>Coalfield</t>
  </si>
  <si>
    <t>Oakdale School</t>
  </si>
  <si>
    <t>225 Clifty Creek RD</t>
  </si>
  <si>
    <t>Oakdale</t>
  </si>
  <si>
    <t>650_60</t>
  </si>
  <si>
    <t>Petros Joyner Elementary</t>
  </si>
  <si>
    <t>125 Petros Joyner School RD</t>
  </si>
  <si>
    <t>Sunbright School</t>
  </si>
  <si>
    <t>205 Burrville RD</t>
  </si>
  <si>
    <t>Sunbright</t>
  </si>
  <si>
    <t>660_7</t>
  </si>
  <si>
    <t>Black Oak Elementary</t>
  </si>
  <si>
    <t>365 North Shawtown RD</t>
  </si>
  <si>
    <t>Hornbeak</t>
  </si>
  <si>
    <t>660_12</t>
  </si>
  <si>
    <t>605 South Main ST</t>
  </si>
  <si>
    <t>Troy</t>
  </si>
  <si>
    <t>660_26</t>
  </si>
  <si>
    <t>Lake Road Elementary</t>
  </si>
  <si>
    <t>1130 East Highway 22</t>
  </si>
  <si>
    <t>Obion County Central High School</t>
  </si>
  <si>
    <t>528 North Highway 51</t>
  </si>
  <si>
    <t>660_38</t>
  </si>
  <si>
    <t>Ridgemont Elementary</t>
  </si>
  <si>
    <t>1285 N Highway 45 By - Pass</t>
  </si>
  <si>
    <t>660_45</t>
  </si>
  <si>
    <t>South Fulton Elementary</t>
  </si>
  <si>
    <t>209 John C. Jones PKWY</t>
  </si>
  <si>
    <t>South Fulton</t>
  </si>
  <si>
    <t>South Fulton Middle / High School</t>
  </si>
  <si>
    <t>1302 South Fulton DR</t>
  </si>
  <si>
    <t>661_10</t>
  </si>
  <si>
    <t>Union City Elementary School</t>
  </si>
  <si>
    <t>1100 South Miles AVE</t>
  </si>
  <si>
    <t>661_12</t>
  </si>
  <si>
    <t>Union City Middle School</t>
  </si>
  <si>
    <t>1111 High School DR</t>
  </si>
  <si>
    <t>Union City High School</t>
  </si>
  <si>
    <t>1305 High School DR</t>
  </si>
  <si>
    <t>670_5</t>
  </si>
  <si>
    <t>Allons Elementary</t>
  </si>
  <si>
    <t>321 Old Celina HWY</t>
  </si>
  <si>
    <t>Allons</t>
  </si>
  <si>
    <t>670_20</t>
  </si>
  <si>
    <t>Hilham Elementary</t>
  </si>
  <si>
    <t>2305 Hilham HWY</t>
  </si>
  <si>
    <t>Hilham</t>
  </si>
  <si>
    <t>Livingston Academy</t>
  </si>
  <si>
    <t>120 Melvin Johnson DR</t>
  </si>
  <si>
    <t>Livingston</t>
  </si>
  <si>
    <t>670_35</t>
  </si>
  <si>
    <t>Livingston Middle School</t>
  </si>
  <si>
    <t>216 Bilbrey ST</t>
  </si>
  <si>
    <t>670_50</t>
  </si>
  <si>
    <t>Rickman Elementary</t>
  </si>
  <si>
    <t>631 Rickman Monterey HWY</t>
  </si>
  <si>
    <t>Rickman</t>
  </si>
  <si>
    <t>670_60</t>
  </si>
  <si>
    <t>Wilson Elementary</t>
  </si>
  <si>
    <t>2210 Hanging Limb HWY</t>
  </si>
  <si>
    <t>Crawford</t>
  </si>
  <si>
    <t>670_65</t>
  </si>
  <si>
    <t>A H Roberts Elementary</t>
  </si>
  <si>
    <t>301 Zachary ST</t>
  </si>
  <si>
    <t>680_15</t>
  </si>
  <si>
    <t>331 Brooklyn AVE</t>
  </si>
  <si>
    <t>Linden</t>
  </si>
  <si>
    <t>680_20</t>
  </si>
  <si>
    <t>Lobelville Elementary</t>
  </si>
  <si>
    <t>196 East Fourth AVE</t>
  </si>
  <si>
    <t>Lobelville</t>
  </si>
  <si>
    <t>680_25</t>
  </si>
  <si>
    <t>Linden Middle School</t>
  </si>
  <si>
    <t>130 College AVE</t>
  </si>
  <si>
    <t>Perry County High School</t>
  </si>
  <si>
    <t>1056 Squirrel Hollow RD</t>
  </si>
  <si>
    <t>Pickett Co High School</t>
  </si>
  <si>
    <t>130 Skyline DR</t>
  </si>
  <si>
    <t>Byrdstown</t>
  </si>
  <si>
    <t>690_10</t>
  </si>
  <si>
    <t>Pickett County Elementary</t>
  </si>
  <si>
    <t>1016 Woodlawn DR</t>
  </si>
  <si>
    <t>700_5</t>
  </si>
  <si>
    <t>Benton Elementary</t>
  </si>
  <si>
    <t>215 Schoolhouse Hill RD</t>
  </si>
  <si>
    <t>Benton</t>
  </si>
  <si>
    <t>700_10</t>
  </si>
  <si>
    <t>Copper Basin Elementary School</t>
  </si>
  <si>
    <t>206 Cougar DR</t>
  </si>
  <si>
    <t>Copperhill</t>
  </si>
  <si>
    <t>Copper Basin High School</t>
  </si>
  <si>
    <t>205 Cougar DR</t>
  </si>
  <si>
    <t>700_50</t>
  </si>
  <si>
    <t>Chilhowee Middle School</t>
  </si>
  <si>
    <t>Polk County High School</t>
  </si>
  <si>
    <t>7200 Highway 411 North</t>
  </si>
  <si>
    <t>700_57</t>
  </si>
  <si>
    <t>South Polk Elementary</t>
  </si>
  <si>
    <t>964 Old Federal RD</t>
  </si>
  <si>
    <t>Old Fort</t>
  </si>
  <si>
    <t>710_5</t>
  </si>
  <si>
    <t>Algood Elementary</t>
  </si>
  <si>
    <t>2525 Old Walton RD</t>
  </si>
  <si>
    <t>Algood</t>
  </si>
  <si>
    <t>710_6</t>
  </si>
  <si>
    <t>VITAL: Upper Cumberland e-Learning Network</t>
  </si>
  <si>
    <t>1400 E. Spring ST</t>
  </si>
  <si>
    <t>710_8</t>
  </si>
  <si>
    <t>Algood Middle School</t>
  </si>
  <si>
    <t>540 Dry Valley RD</t>
  </si>
  <si>
    <t>710_15</t>
  </si>
  <si>
    <t>Cornerstone Elementary</t>
  </si>
  <si>
    <t>371 First Avenue South</t>
  </si>
  <si>
    <t>Baxter</t>
  </si>
  <si>
    <t>710_17</t>
  </si>
  <si>
    <t>Baxter Primary</t>
  </si>
  <si>
    <t>125 Elmore Town Road</t>
  </si>
  <si>
    <t>710_25</t>
  </si>
  <si>
    <t>Burks Elementary</t>
  </si>
  <si>
    <t>300 Crossville ST</t>
  </si>
  <si>
    <t>Monterey</t>
  </si>
  <si>
    <t>710_30</t>
  </si>
  <si>
    <t>Cane Creek Elementary</t>
  </si>
  <si>
    <t>1500 West Jackson ST</t>
  </si>
  <si>
    <t>710_35</t>
  </si>
  <si>
    <t>Capshaw Elementary</t>
  </si>
  <si>
    <t>1 Cougar LN</t>
  </si>
  <si>
    <t>Cookeville High School</t>
  </si>
  <si>
    <t>1 Cavalier DR</t>
  </si>
  <si>
    <t>710_50</t>
  </si>
  <si>
    <t>Jere Whitson Elementary</t>
  </si>
  <si>
    <t>178 East Jere Whitson RD</t>
  </si>
  <si>
    <t>Monterey High School</t>
  </si>
  <si>
    <t>710 East Commercial AVE</t>
  </si>
  <si>
    <t>710_57</t>
  </si>
  <si>
    <t>575 N Old Kentucky RD</t>
  </si>
  <si>
    <t>710_60</t>
  </si>
  <si>
    <t>Park View Elementary</t>
  </si>
  <si>
    <t>545 Scott AVE</t>
  </si>
  <si>
    <t>710_65</t>
  </si>
  <si>
    <t>Avery Trace Middle School</t>
  </si>
  <si>
    <t>230 Raider DR</t>
  </si>
  <si>
    <t>710_70</t>
  </si>
  <si>
    <t>Sycamore Elementary</t>
  </si>
  <si>
    <t>452 Ellis AVE</t>
  </si>
  <si>
    <t>Upperman High School</t>
  </si>
  <si>
    <t>6950 Nashville HWY</t>
  </si>
  <si>
    <t>710_95</t>
  </si>
  <si>
    <t>Prescott South Elementary</t>
  </si>
  <si>
    <t>115 W. Cemetery RD</t>
  </si>
  <si>
    <t>710_100</t>
  </si>
  <si>
    <t>Prescott South Middle School</t>
  </si>
  <si>
    <t>1859 S. Jefferson ST</t>
  </si>
  <si>
    <t>710_110</t>
  </si>
  <si>
    <t>Upperman Middle School</t>
  </si>
  <si>
    <t>6700 Nashville HWY</t>
  </si>
  <si>
    <t>720_10</t>
  </si>
  <si>
    <t>Frazier Elementary</t>
  </si>
  <si>
    <t>3900 Double S RD</t>
  </si>
  <si>
    <t>Dayton</t>
  </si>
  <si>
    <t>720_20</t>
  </si>
  <si>
    <t>Graysville Elementary School</t>
  </si>
  <si>
    <t>606 Long ST</t>
  </si>
  <si>
    <t>Rhea County High School</t>
  </si>
  <si>
    <t>885 Eagle LN</t>
  </si>
  <si>
    <t>Evensville</t>
  </si>
  <si>
    <t>720_40</t>
  </si>
  <si>
    <t>Spring City Elementary</t>
  </si>
  <si>
    <t>270 East Jackson AVE</t>
  </si>
  <si>
    <t>Spring City</t>
  </si>
  <si>
    <t>720_50</t>
  </si>
  <si>
    <t>Spring City Middle School</t>
  </si>
  <si>
    <t>751 Wasson Memorial Hwy 68</t>
  </si>
  <si>
    <t>720_65</t>
  </si>
  <si>
    <t>Rhea Central Elementary</t>
  </si>
  <si>
    <t>1005 Delaware AVE</t>
  </si>
  <si>
    <t>720_70</t>
  </si>
  <si>
    <t>Rhea Middle School</t>
  </si>
  <si>
    <t>405 Pierce RD</t>
  </si>
  <si>
    <t>721_5</t>
  </si>
  <si>
    <t>Dayton City Elementary</t>
  </si>
  <si>
    <t>520 Cherry ST</t>
  </si>
  <si>
    <t>730_5</t>
  </si>
  <si>
    <t>Cherokee Middle School</t>
  </si>
  <si>
    <t>200 Paint Rock Ferry RD</t>
  </si>
  <si>
    <t>Kingston</t>
  </si>
  <si>
    <t>730_14</t>
  </si>
  <si>
    <t>Harriman Middle School</t>
  </si>
  <si>
    <t>1025 Cumberland ST</t>
  </si>
  <si>
    <t>Harriman</t>
  </si>
  <si>
    <t>Harriman High School</t>
  </si>
  <si>
    <t>920 North Roane ST</t>
  </si>
  <si>
    <t>730_28</t>
  </si>
  <si>
    <t>Bowers Elementary</t>
  </si>
  <si>
    <t>120 Breazeale ST</t>
  </si>
  <si>
    <t>730_35</t>
  </si>
  <si>
    <t>Kingston Elementary</t>
  </si>
  <si>
    <t>2000 Kingston HWY</t>
  </si>
  <si>
    <t>730_45</t>
  </si>
  <si>
    <t>Midtown Elementary</t>
  </si>
  <si>
    <t>2830 Roane State HWY</t>
  </si>
  <si>
    <t>730_47</t>
  </si>
  <si>
    <t>130 Laurel Bluff RD</t>
  </si>
  <si>
    <t>730_48</t>
  </si>
  <si>
    <t>Midway Middle School</t>
  </si>
  <si>
    <t>104 Dogtown RD</t>
  </si>
  <si>
    <t>Ten Mile</t>
  </si>
  <si>
    <t>Midway High School</t>
  </si>
  <si>
    <t>530 Loudon HWY</t>
  </si>
  <si>
    <t>730_60</t>
  </si>
  <si>
    <t>Oliver Springs Middle</t>
  </si>
  <si>
    <t>317 Roane ST</t>
  </si>
  <si>
    <t>Oliver Springs High School</t>
  </si>
  <si>
    <t>419 Kingston AVE</t>
  </si>
  <si>
    <t>730_77</t>
  </si>
  <si>
    <t>Ridge View Elementary</t>
  </si>
  <si>
    <t>625 Pumphouse RD</t>
  </si>
  <si>
    <t>Roane County High School</t>
  </si>
  <si>
    <t>540 W. Cumberland ST</t>
  </si>
  <si>
    <t>Midtown Educational Center</t>
  </si>
  <si>
    <t>3096 Roane State HWY</t>
  </si>
  <si>
    <t>Rockwood High School</t>
  </si>
  <si>
    <t>512 West Rockwood ST</t>
  </si>
  <si>
    <t>730_90</t>
  </si>
  <si>
    <t>Rockwood Middle School</t>
  </si>
  <si>
    <t>434 West Rockwood ST</t>
  </si>
  <si>
    <t>730_95</t>
  </si>
  <si>
    <t>Dyllis Springs Elementary</t>
  </si>
  <si>
    <t>120 Ollis RD</t>
  </si>
  <si>
    <t>740_15</t>
  </si>
  <si>
    <t>Crestview Elementary School</t>
  </si>
  <si>
    <t>1160 Jaden Gavin DR</t>
  </si>
  <si>
    <t>Springfield</t>
  </si>
  <si>
    <t>740_20</t>
  </si>
  <si>
    <t>Cheatham Park Elementary</t>
  </si>
  <si>
    <t>301 Locust ST</t>
  </si>
  <si>
    <t>740_25</t>
  </si>
  <si>
    <t>Coopertown Elementary</t>
  </si>
  <si>
    <t>3746 Hwy 49 West</t>
  </si>
  <si>
    <t>740_26</t>
  </si>
  <si>
    <t>Coopertown Middle School</t>
  </si>
  <si>
    <t>3820 Highway 49 West</t>
  </si>
  <si>
    <t>740_28</t>
  </si>
  <si>
    <t>East Robertson Elementary</t>
  </si>
  <si>
    <t>5177 E Robertson RD</t>
  </si>
  <si>
    <t>Cross Plains</t>
  </si>
  <si>
    <t>East Robertson High School</t>
  </si>
  <si>
    <t>158 Kilgore Trace</t>
  </si>
  <si>
    <t>740_35</t>
  </si>
  <si>
    <t>Greenbrier Elementary</t>
  </si>
  <si>
    <t>2658 Hwy 41 South</t>
  </si>
  <si>
    <t>Greenbrier</t>
  </si>
  <si>
    <t>740_38</t>
  </si>
  <si>
    <t>Greenbrier Middle School</t>
  </si>
  <si>
    <t>2450 Hwy 41 South</t>
  </si>
  <si>
    <t>Greenbrier High School</t>
  </si>
  <si>
    <t>126 Cuniff DR</t>
  </si>
  <si>
    <t>Jo Byrns High School</t>
  </si>
  <si>
    <t>7025 Hwy 41 North</t>
  </si>
  <si>
    <t>Cedar Hill</t>
  </si>
  <si>
    <t>740_48</t>
  </si>
  <si>
    <t>Jo Byrns Elementary School</t>
  </si>
  <si>
    <t>6399 Highway 41 North</t>
  </si>
  <si>
    <t>740_50</t>
  </si>
  <si>
    <t>Krisle Elementary</t>
  </si>
  <si>
    <t>6712 Hwy 49 East</t>
  </si>
  <si>
    <t>740_55</t>
  </si>
  <si>
    <t>Robert F. Woodall Elementary</t>
  </si>
  <si>
    <t>300 Eden Way</t>
  </si>
  <si>
    <t>White House</t>
  </si>
  <si>
    <t>Springfield High School</t>
  </si>
  <si>
    <t>5240 Hwy 76 East</t>
  </si>
  <si>
    <t>740_75</t>
  </si>
  <si>
    <t>Springfield Middle School</t>
  </si>
  <si>
    <t>715 5th Avenue West</t>
  </si>
  <si>
    <t>740_80</t>
  </si>
  <si>
    <t>Watauga Elementary</t>
  </si>
  <si>
    <t>1755 Lake RD</t>
  </si>
  <si>
    <t>Ridgetop</t>
  </si>
  <si>
    <t>740_85</t>
  </si>
  <si>
    <t>309 Alsup DR</t>
  </si>
  <si>
    <t>740_88</t>
  </si>
  <si>
    <t>White House Heritage Elementary School</t>
  </si>
  <si>
    <t>220 West DR</t>
  </si>
  <si>
    <t>White House Heritage High School</t>
  </si>
  <si>
    <t>7744 Highway 76 E DR</t>
  </si>
  <si>
    <t>Robertson Co. Virtual School</t>
  </si>
  <si>
    <t>5240 Highway 76 E</t>
  </si>
  <si>
    <t>750_1</t>
  </si>
  <si>
    <t>Blackman Elementary School</t>
  </si>
  <si>
    <t>586 Fortress BLVD</t>
  </si>
  <si>
    <t>Murfreesboro</t>
  </si>
  <si>
    <t>750_2</t>
  </si>
  <si>
    <t>Blackman Middle School</t>
  </si>
  <si>
    <t>3945 Blaze DR</t>
  </si>
  <si>
    <t>750_3</t>
  </si>
  <si>
    <t>Barfield Elementary</t>
  </si>
  <si>
    <t>350 Barfield- Crescent RD</t>
  </si>
  <si>
    <t>Blackman High School</t>
  </si>
  <si>
    <t>3956 Blaze DR</t>
  </si>
  <si>
    <t>750_5</t>
  </si>
  <si>
    <t>Buchanan Elementary</t>
  </si>
  <si>
    <t>6050 Manchester HWY</t>
  </si>
  <si>
    <t>750_8</t>
  </si>
  <si>
    <t>Cedar Grove Elementary</t>
  </si>
  <si>
    <t>354 Chaney RD</t>
  </si>
  <si>
    <t>Smyrna</t>
  </si>
  <si>
    <t>Central Magnet School</t>
  </si>
  <si>
    <t>701 East Main ST</t>
  </si>
  <si>
    <t>750_17</t>
  </si>
  <si>
    <t>Oakland Middle School</t>
  </si>
  <si>
    <t>853 DeJarnette LN</t>
  </si>
  <si>
    <t>750_20</t>
  </si>
  <si>
    <t>Christiana Elementary</t>
  </si>
  <si>
    <t>4701 Shelbyville HWY</t>
  </si>
  <si>
    <t>Christiana</t>
  </si>
  <si>
    <t>750_21</t>
  </si>
  <si>
    <t>Whitworth-Buchanan Middle School</t>
  </si>
  <si>
    <t>555 Manchester HWY</t>
  </si>
  <si>
    <t>750_23</t>
  </si>
  <si>
    <t>Christiana Middle School</t>
  </si>
  <si>
    <t>4675 Shelbyville PIKE</t>
  </si>
  <si>
    <t>750_25</t>
  </si>
  <si>
    <t>John Colemon Elementary</t>
  </si>
  <si>
    <t>1098 Espey DR</t>
  </si>
  <si>
    <t>750_28</t>
  </si>
  <si>
    <t>David Youree Elementary</t>
  </si>
  <si>
    <t>250 Todd LN</t>
  </si>
  <si>
    <t>Eagleville School</t>
  </si>
  <si>
    <t>500 Hwy 99</t>
  </si>
  <si>
    <t>Eagleville</t>
  </si>
  <si>
    <t>Holloway High School</t>
  </si>
  <si>
    <t>619 South Highland AVE</t>
  </si>
  <si>
    <t>750_39</t>
  </si>
  <si>
    <t>Brown's Chapel Elementary School</t>
  </si>
  <si>
    <t>6128 Baker RD</t>
  </si>
  <si>
    <t>750_40</t>
  </si>
  <si>
    <t>Kittrell Elementary</t>
  </si>
  <si>
    <t>7801 Old Woodbury HWY</t>
  </si>
  <si>
    <t>750_50</t>
  </si>
  <si>
    <t>Lascassas Elementary</t>
  </si>
  <si>
    <t>6300 Lascassas PIKE</t>
  </si>
  <si>
    <t>Lascassas</t>
  </si>
  <si>
    <t>750_55</t>
  </si>
  <si>
    <t>Rock Springs Elementary</t>
  </si>
  <si>
    <t>1000 Waldron RD</t>
  </si>
  <si>
    <t>Lavergne</t>
  </si>
  <si>
    <t>750_58</t>
  </si>
  <si>
    <t>Rock Springs Middle School</t>
  </si>
  <si>
    <t>3301 Rock Springs RD</t>
  </si>
  <si>
    <t>750_59</t>
  </si>
  <si>
    <t>LaVergne Lake Elementary School</t>
  </si>
  <si>
    <t>201 David's Way</t>
  </si>
  <si>
    <t>LaVergne</t>
  </si>
  <si>
    <t>750_60</t>
  </si>
  <si>
    <t>Lavergne Primary</t>
  </si>
  <si>
    <t>220 Stones River RD</t>
  </si>
  <si>
    <t>750_62</t>
  </si>
  <si>
    <t>LaVergne Middle School</t>
  </si>
  <si>
    <t>382 Stone River RD</t>
  </si>
  <si>
    <t>La Vergne</t>
  </si>
  <si>
    <t>Lavergne High School</t>
  </si>
  <si>
    <t>250 Wolverine Trail</t>
  </si>
  <si>
    <t>750_65</t>
  </si>
  <si>
    <t>Homer Pittard Campus School</t>
  </si>
  <si>
    <t>923 E. Lytle ST, MTSU Box 4</t>
  </si>
  <si>
    <t>750_70</t>
  </si>
  <si>
    <t>McFadden School Of Excellence</t>
  </si>
  <si>
    <t>221 Bridge AVE</t>
  </si>
  <si>
    <t>Oakland High School</t>
  </si>
  <si>
    <t>2225 Patriot DR</t>
  </si>
  <si>
    <t>Riverdale High School</t>
  </si>
  <si>
    <t>802 Warrior DR</t>
  </si>
  <si>
    <t>750_75</t>
  </si>
  <si>
    <t>Rockvale Elementary</t>
  </si>
  <si>
    <t>6550 Hwy 99</t>
  </si>
  <si>
    <t>Rockvale</t>
  </si>
  <si>
    <t>750_77</t>
  </si>
  <si>
    <t>Roy L Waldron Elementary</t>
  </si>
  <si>
    <t>125 Floyd Mayfield DR</t>
  </si>
  <si>
    <t>750_78</t>
  </si>
  <si>
    <t>Rockvale Middle School</t>
  </si>
  <si>
    <t>6543 Hwy 99</t>
  </si>
  <si>
    <t>750_90</t>
  </si>
  <si>
    <t>Smyrna Elementary</t>
  </si>
  <si>
    <t>1001 Sam Davis RD</t>
  </si>
  <si>
    <t>750_95</t>
  </si>
  <si>
    <t>Smyrna Middle School</t>
  </si>
  <si>
    <t>712 Hazelwood DR</t>
  </si>
  <si>
    <t>Smyrna High School</t>
  </si>
  <si>
    <t>100 Bulldog DR</t>
  </si>
  <si>
    <t>750_100</t>
  </si>
  <si>
    <t>Smyrna Primary</t>
  </si>
  <si>
    <t>200 Walnut ST</t>
  </si>
  <si>
    <t>750_103</t>
  </si>
  <si>
    <t>Siegel Middle School</t>
  </si>
  <si>
    <t>355 West Thompson LN</t>
  </si>
  <si>
    <t>Siegel High School</t>
  </si>
  <si>
    <t>3300 Siegel RD</t>
  </si>
  <si>
    <t>750_105</t>
  </si>
  <si>
    <t>Thurman Francis Arts Academy/Magnet School for the Arts</t>
  </si>
  <si>
    <t>221 Todd LN</t>
  </si>
  <si>
    <t>750_110</t>
  </si>
  <si>
    <t>Walter Hill Elementary</t>
  </si>
  <si>
    <t>6309 Lebanon PIKE</t>
  </si>
  <si>
    <t>750_150</t>
  </si>
  <si>
    <t>Wilson Elementary School</t>
  </si>
  <si>
    <t>1545 Cutoff RD</t>
  </si>
  <si>
    <t>750_200</t>
  </si>
  <si>
    <t>Stewartsboro Elementary</t>
  </si>
  <si>
    <t>10479 Old Nashville HWY</t>
  </si>
  <si>
    <t>750_210</t>
  </si>
  <si>
    <t>Stewarts Creek Elementary School</t>
  </si>
  <si>
    <t>200 Red Hawk PKWY</t>
  </si>
  <si>
    <t>750_220</t>
  </si>
  <si>
    <t>Stewarts Creek Middle School</t>
  </si>
  <si>
    <t>400 Red Hawk PKWY</t>
  </si>
  <si>
    <t>Stewarts Creek High School</t>
  </si>
  <si>
    <t>301 Red Hawk PKWY</t>
  </si>
  <si>
    <t>750_230</t>
  </si>
  <si>
    <t>Rocky Fork Middle School</t>
  </si>
  <si>
    <t>100 Thunderstorm LN</t>
  </si>
  <si>
    <t>751_5</t>
  </si>
  <si>
    <t>Discovery School</t>
  </si>
  <si>
    <t>1165 Middle Tennessee BLVD</t>
  </si>
  <si>
    <t>751_7</t>
  </si>
  <si>
    <t>Black Fox Elementary</t>
  </si>
  <si>
    <t>1753 South Rutherford BLVD</t>
  </si>
  <si>
    <t>751_10</t>
  </si>
  <si>
    <t>Bradley Academy - An Arts Integrated School</t>
  </si>
  <si>
    <t>511 Mercury BLVD</t>
  </si>
  <si>
    <t>751_15</t>
  </si>
  <si>
    <t>Cason Lane Academy</t>
  </si>
  <si>
    <t>1330 Cason LN</t>
  </si>
  <si>
    <t>751_18</t>
  </si>
  <si>
    <t>Erma Siegel Elementary</t>
  </si>
  <si>
    <t>135 W Thompson LN</t>
  </si>
  <si>
    <t>751_20</t>
  </si>
  <si>
    <t>Hobgood Elementary</t>
  </si>
  <si>
    <t>307 Baird LN</t>
  </si>
  <si>
    <t>751_25</t>
  </si>
  <si>
    <t>Mitchell-Neilson Elementary</t>
  </si>
  <si>
    <t>711 Clark BLVD</t>
  </si>
  <si>
    <t>751_32</t>
  </si>
  <si>
    <t>Northfield Elementary</t>
  </si>
  <si>
    <t>550 W Northfield BLVD</t>
  </si>
  <si>
    <t>751_35</t>
  </si>
  <si>
    <t>John Pittard Elementary</t>
  </si>
  <si>
    <t>745 DeJarnett LN</t>
  </si>
  <si>
    <t>751_40</t>
  </si>
  <si>
    <t>Overall Creek Elementary</t>
  </si>
  <si>
    <t>429 Otter TRL</t>
  </si>
  <si>
    <t>751_45</t>
  </si>
  <si>
    <t>Reeves-Rogers Elementary</t>
  </si>
  <si>
    <t>1807 Greenland DR</t>
  </si>
  <si>
    <t>751_150</t>
  </si>
  <si>
    <t>Scales Elementary School</t>
  </si>
  <si>
    <t>2340 St. Andrews DR</t>
  </si>
  <si>
    <t>760_5</t>
  </si>
  <si>
    <t>Burchfield Elementary</t>
  </si>
  <si>
    <t>1112 West 3rd ST</t>
  </si>
  <si>
    <t>760_8</t>
  </si>
  <si>
    <t>8702 Baker HWY</t>
  </si>
  <si>
    <t>Huntsville</t>
  </si>
  <si>
    <t>760_20</t>
  </si>
  <si>
    <t>Huntsville Elementary</t>
  </si>
  <si>
    <t>3221 Baker HWY</t>
  </si>
  <si>
    <t>760_25</t>
  </si>
  <si>
    <t>Huntsville Middle School</t>
  </si>
  <si>
    <t>3101 Baker HWY</t>
  </si>
  <si>
    <t>760_40</t>
  </si>
  <si>
    <t>Robbins Elementary</t>
  </si>
  <si>
    <t>355 School House RD</t>
  </si>
  <si>
    <t>Robbins</t>
  </si>
  <si>
    <t>Scott High School</t>
  </si>
  <si>
    <t>400 Scott High DR</t>
  </si>
  <si>
    <t>760_55</t>
  </si>
  <si>
    <t>Winfield Elementary</t>
  </si>
  <si>
    <t>23366 Scott HWY</t>
  </si>
  <si>
    <t>Winfield</t>
  </si>
  <si>
    <t>761_5</t>
  </si>
  <si>
    <t>Oneida Elementary</t>
  </si>
  <si>
    <t>330 Claude Terry DR</t>
  </si>
  <si>
    <t>761_8</t>
  </si>
  <si>
    <t>Oneida Middle School</t>
  </si>
  <si>
    <t>376 N Main ST</t>
  </si>
  <si>
    <t>Oneida High School</t>
  </si>
  <si>
    <t>372 North Main</t>
  </si>
  <si>
    <t>770_5</t>
  </si>
  <si>
    <t>Sequatchie Co Middle School</t>
  </si>
  <si>
    <t>7079 State Route 28</t>
  </si>
  <si>
    <t>Dunlap</t>
  </si>
  <si>
    <t>770_10</t>
  </si>
  <si>
    <t>Griffith Elementary</t>
  </si>
  <si>
    <t>173 Jones DR</t>
  </si>
  <si>
    <t>Sequatchie Co High School</t>
  </si>
  <si>
    <t>523 Hwy 28</t>
  </si>
  <si>
    <t>780_12</t>
  </si>
  <si>
    <t>Boyds Creek Elementary School</t>
  </si>
  <si>
    <t>1729 Indian Warpath</t>
  </si>
  <si>
    <t>Sevierville</t>
  </si>
  <si>
    <t>780_13</t>
  </si>
  <si>
    <t>Catlettsburg Elementary School</t>
  </si>
  <si>
    <t>1409 Catlettsburg RD</t>
  </si>
  <si>
    <t>780_15</t>
  </si>
  <si>
    <t>Catons Chapel Elementary</t>
  </si>
  <si>
    <t>3135 Catons Chapel RD</t>
  </si>
  <si>
    <t>Gatlinburg Pittman High</t>
  </si>
  <si>
    <t>150 Proffitt RD</t>
  </si>
  <si>
    <t>Gatlinburg</t>
  </si>
  <si>
    <t>780_25</t>
  </si>
  <si>
    <t>Jones Cove Elementary</t>
  </si>
  <si>
    <t>4554 Jones Cove RD</t>
  </si>
  <si>
    <t>Northview Senior Academy</t>
  </si>
  <si>
    <t>2719 Northview Academy LN</t>
  </si>
  <si>
    <t>Kodak</t>
  </si>
  <si>
    <t>780_31</t>
  </si>
  <si>
    <t>Northview Junior Academy</t>
  </si>
  <si>
    <t>780_32</t>
  </si>
  <si>
    <t>Northview Elementary</t>
  </si>
  <si>
    <t>3293 Douglas Dam RD</t>
  </si>
  <si>
    <t>780_34</t>
  </si>
  <si>
    <t>Northview Intermediate School</t>
  </si>
  <si>
    <t>3295 Douglas Dam RD</t>
  </si>
  <si>
    <t>780_35</t>
  </si>
  <si>
    <t>New Center Elementary</t>
  </si>
  <si>
    <t>2701 Old Newport HWY</t>
  </si>
  <si>
    <t>780_40</t>
  </si>
  <si>
    <t>Pi Beta Phi Elementary</t>
  </si>
  <si>
    <t>125 Cherokee Orchard RD</t>
  </si>
  <si>
    <t>780_44</t>
  </si>
  <si>
    <t>Pigeon Forge Primary</t>
  </si>
  <si>
    <t>1766 Waldens Creek RD</t>
  </si>
  <si>
    <t>780_45</t>
  </si>
  <si>
    <t>Pigeon Forge Middle School</t>
  </si>
  <si>
    <t>300 Wears Valley RD</t>
  </si>
  <si>
    <t>Pigeon Forge</t>
  </si>
  <si>
    <t>Pigeon Forge High School</t>
  </si>
  <si>
    <t>414 Tiger DR</t>
  </si>
  <si>
    <t>780_50</t>
  </si>
  <si>
    <t>Pittman Center Elementary</t>
  </si>
  <si>
    <t>2455 East PKWY</t>
  </si>
  <si>
    <t>Gary Hardin Academy</t>
  </si>
  <si>
    <t>2540 Boyds Creek RD</t>
  </si>
  <si>
    <t>Sevier County High School</t>
  </si>
  <si>
    <t>1200 Dolly Parton PKWY</t>
  </si>
  <si>
    <t>780_60</t>
  </si>
  <si>
    <t>Sevierville Primary</t>
  </si>
  <si>
    <t>1146 Blanton DR</t>
  </si>
  <si>
    <t>780_61</t>
  </si>
  <si>
    <t>Sevierville Intermediate</t>
  </si>
  <si>
    <t>416 High ST</t>
  </si>
  <si>
    <t>780_62</t>
  </si>
  <si>
    <t>Sevierville Middle School</t>
  </si>
  <si>
    <t>520 High ST</t>
  </si>
  <si>
    <t>780_65</t>
  </si>
  <si>
    <t>Seymour Primary</t>
  </si>
  <si>
    <t>717 Boyds Creek RD</t>
  </si>
  <si>
    <t>780_66</t>
  </si>
  <si>
    <t>Seymour Middle School</t>
  </si>
  <si>
    <t>737 Boyds Creek RD</t>
  </si>
  <si>
    <t>780_68</t>
  </si>
  <si>
    <t>Seymour Intermediate</t>
  </si>
  <si>
    <t>212 North Pitner RD</t>
  </si>
  <si>
    <t>Seymour High School</t>
  </si>
  <si>
    <t>732 Boyds Creek RD</t>
  </si>
  <si>
    <t>780_80</t>
  </si>
  <si>
    <t>Wearwood Elementary</t>
  </si>
  <si>
    <t>3150 Wearwood DR</t>
  </si>
  <si>
    <t>792_10</t>
  </si>
  <si>
    <t>Barret's Chapel Elementary/Middle</t>
  </si>
  <si>
    <t>10280 Godwin Rd</t>
  </si>
  <si>
    <t>Bolton High</t>
  </si>
  <si>
    <t>7323 Brunswick Rd</t>
  </si>
  <si>
    <t>792_67</t>
  </si>
  <si>
    <t>Dexter Elementary</t>
  </si>
  <si>
    <t>7105 Dexter RD</t>
  </si>
  <si>
    <t>Cordova</t>
  </si>
  <si>
    <t>792_68</t>
  </si>
  <si>
    <t>Dexter Middle</t>
  </si>
  <si>
    <t>6998 Raleigh LaGrange Rd</t>
  </si>
  <si>
    <t>792_80</t>
  </si>
  <si>
    <t>E.E. Jeter Elementary/Middle</t>
  </si>
  <si>
    <t>7662 Benjestown Rd</t>
  </si>
  <si>
    <t>Millington</t>
  </si>
  <si>
    <t>792_105</t>
  </si>
  <si>
    <t>Germantown Elementary</t>
  </si>
  <si>
    <t>2730 Cross Country Dr</t>
  </si>
  <si>
    <t>792_107</t>
  </si>
  <si>
    <t>Germantown Middle</t>
  </si>
  <si>
    <t>7925 CD Smith Rd</t>
  </si>
  <si>
    <t>792_108</t>
  </si>
  <si>
    <t>Highland Oaks Elementary</t>
  </si>
  <si>
    <t>5252 Annandale Rd</t>
  </si>
  <si>
    <t>Memphis</t>
  </si>
  <si>
    <t>Germantown High</t>
  </si>
  <si>
    <t>7653 Old Poplar Pike</t>
  </si>
  <si>
    <t>792_115</t>
  </si>
  <si>
    <t>Lucy Elementary</t>
  </si>
  <si>
    <t>6269 Amherst RD</t>
  </si>
  <si>
    <t>792_118</t>
  </si>
  <si>
    <t>Macon-Hall Elementary</t>
  </si>
  <si>
    <t>9800 Macon RD</t>
  </si>
  <si>
    <t>792_140</t>
  </si>
  <si>
    <t>Mt. Pisgah Middle</t>
  </si>
  <si>
    <t>1444 Pisgah RD</t>
  </si>
  <si>
    <t>792_145</t>
  </si>
  <si>
    <t>Northaven Elementary</t>
  </si>
  <si>
    <t>5157 N Circle Rd</t>
  </si>
  <si>
    <t>792_175</t>
  </si>
  <si>
    <t>Southwind Elementary</t>
  </si>
  <si>
    <t>8155 Meadow Vale Dr</t>
  </si>
  <si>
    <t>Southwind High</t>
  </si>
  <si>
    <t>7900 E Shelby Dr</t>
  </si>
  <si>
    <t>792_185</t>
  </si>
  <si>
    <t>Woodstock Middle School</t>
  </si>
  <si>
    <t>5885 Woodstock Cuba Rd</t>
  </si>
  <si>
    <t>792_200</t>
  </si>
  <si>
    <t>Highland Oaks Middle</t>
  </si>
  <si>
    <t>5600 Meadowbriar TRL</t>
  </si>
  <si>
    <t>792_205</t>
  </si>
  <si>
    <t>Lowrance Elementary/Middle</t>
  </si>
  <si>
    <t>7740 Lowrance RD</t>
  </si>
  <si>
    <t>792_300</t>
  </si>
  <si>
    <t>Belle Forest Community School</t>
  </si>
  <si>
    <t>3135 Ridgeway</t>
  </si>
  <si>
    <t>792_2005</t>
  </si>
  <si>
    <t>A. B. Hill Elementary</t>
  </si>
  <si>
    <t>345 East Olive AVE</t>
  </si>
  <si>
    <t>792_2007</t>
  </si>
  <si>
    <t>Kate Bond Middle School</t>
  </si>
  <si>
    <t>2737 Kate Bond RD</t>
  </si>
  <si>
    <t>792_2015</t>
  </si>
  <si>
    <t>Alcy Elementary</t>
  </si>
  <si>
    <t>1750 E Alcy Rd</t>
  </si>
  <si>
    <t>792_2020</t>
  </si>
  <si>
    <t>Alton Elementary</t>
  </si>
  <si>
    <t>2020 Alton Ave</t>
  </si>
  <si>
    <t>792_2023</t>
  </si>
  <si>
    <t>American Way Middle</t>
  </si>
  <si>
    <t>3805 American Way</t>
  </si>
  <si>
    <t>792_2025</t>
  </si>
  <si>
    <t>Avon School</t>
  </si>
  <si>
    <t>310 Avon Rd</t>
  </si>
  <si>
    <t>B. T. Washington High</t>
  </si>
  <si>
    <t>715 S Lauderdale St</t>
  </si>
  <si>
    <t>792_2040</t>
  </si>
  <si>
    <t>575 S Bellevue Blvd</t>
  </si>
  <si>
    <t>792_2045</t>
  </si>
  <si>
    <t>Berclair Elementary</t>
  </si>
  <si>
    <t>810 N Perkins Rd</t>
  </si>
  <si>
    <t>792_2049</t>
  </si>
  <si>
    <t>Chimneyrock Elementary School</t>
  </si>
  <si>
    <t>8601 Chimneyrock Blvd</t>
  </si>
  <si>
    <t>792_2050</t>
  </si>
  <si>
    <t>Bethel Grove Elementary</t>
  </si>
  <si>
    <t>2459 Arlington Ave</t>
  </si>
  <si>
    <t>792_2053</t>
  </si>
  <si>
    <t>William Herbert Brewster Elementary School</t>
  </si>
  <si>
    <t>2605 Sam Cooper Blvd</t>
  </si>
  <si>
    <t>792_2057</t>
  </si>
  <si>
    <t>Brownsville Road Elementary</t>
  </si>
  <si>
    <t>5292 Banbury Ave</t>
  </si>
  <si>
    <t>792_2060</t>
  </si>
  <si>
    <t>Bruce Elementary</t>
  </si>
  <si>
    <t>581 S Bellevue Blvd</t>
  </si>
  <si>
    <t>792_2070</t>
  </si>
  <si>
    <t>Campus Elementary</t>
  </si>
  <si>
    <t>535 Zach Curlin</t>
  </si>
  <si>
    <t>Central High</t>
  </si>
  <si>
    <t>306 S Bellevue Blvd</t>
  </si>
  <si>
    <t>792_2095</t>
  </si>
  <si>
    <t>Charjean Elementary</t>
  </si>
  <si>
    <t>2140 Charjean Rd</t>
  </si>
  <si>
    <t>792_2100</t>
  </si>
  <si>
    <t>Cherokee Elementary</t>
  </si>
  <si>
    <t>3061 Kimball Ave</t>
  </si>
  <si>
    <t>792_2108</t>
  </si>
  <si>
    <t>Chickasaw Middle</t>
  </si>
  <si>
    <t>4060 Westmont Rd</t>
  </si>
  <si>
    <t>792_2115</t>
  </si>
  <si>
    <t>Colonial Middle</t>
  </si>
  <si>
    <t>1370 Colonial RD</t>
  </si>
  <si>
    <t>792_2116</t>
  </si>
  <si>
    <t>Kate Bond Elementary School</t>
  </si>
  <si>
    <t>2727 Kate Bond RD</t>
  </si>
  <si>
    <t>792_2117</t>
  </si>
  <si>
    <t>Cordova Elementary</t>
  </si>
  <si>
    <t>750 N Sanga Rd</t>
  </si>
  <si>
    <t>792_2118</t>
  </si>
  <si>
    <t>Cordova Middle</t>
  </si>
  <si>
    <t>900 N Sanga Rd</t>
  </si>
  <si>
    <t>Cordova High School</t>
  </si>
  <si>
    <t>1800 Berryhill RD</t>
  </si>
  <si>
    <t>Craigmont High</t>
  </si>
  <si>
    <t>3333 Covington Pike</t>
  </si>
  <si>
    <t>792_2128</t>
  </si>
  <si>
    <t>Craigmont Middle</t>
  </si>
  <si>
    <t>3455 Covington PIKE</t>
  </si>
  <si>
    <t>792_2130</t>
  </si>
  <si>
    <t>Cromwell Elementary</t>
  </si>
  <si>
    <t>4989 Cromwell Rd</t>
  </si>
  <si>
    <t>792_2133</t>
  </si>
  <si>
    <t>Crump Elementary</t>
  </si>
  <si>
    <t>4405 Crump RD</t>
  </si>
  <si>
    <t>792_2135</t>
  </si>
  <si>
    <t>Cummings Elementary/Middle</t>
  </si>
  <si>
    <t>1037 Cummings St</t>
  </si>
  <si>
    <t>792_2145</t>
  </si>
  <si>
    <t>Delano Elementary</t>
  </si>
  <si>
    <t>1716 Delano Ave</t>
  </si>
  <si>
    <t>792_2153</t>
  </si>
  <si>
    <t>Double Tree Elementary</t>
  </si>
  <si>
    <t>4560 Double Tree</t>
  </si>
  <si>
    <t>792_2155</t>
  </si>
  <si>
    <t>Douglass Elementary/Middle</t>
  </si>
  <si>
    <t>1650 Ash St</t>
  </si>
  <si>
    <t>Douglass High</t>
  </si>
  <si>
    <t>3200 Mount Olive Rd</t>
  </si>
  <si>
    <t>792_2162</t>
  </si>
  <si>
    <t>Downtown Elementary</t>
  </si>
  <si>
    <t>10 N 4th St</t>
  </si>
  <si>
    <t>792_2165</t>
  </si>
  <si>
    <t>Dunbar Elementary</t>
  </si>
  <si>
    <t>2606 Select Ave</t>
  </si>
  <si>
    <t>East High</t>
  </si>
  <si>
    <t>3206 Poplar Ave</t>
  </si>
  <si>
    <t>792_2183</t>
  </si>
  <si>
    <t>Egypt Elementary</t>
  </si>
  <si>
    <t>4160 Karen Cv</t>
  </si>
  <si>
    <t>792_2185</t>
  </si>
  <si>
    <t>Evans Elementary</t>
  </si>
  <si>
    <t>4949 Cottonwood Rd</t>
  </si>
  <si>
    <t>792_2210</t>
  </si>
  <si>
    <t>Ford Road Elementary</t>
  </si>
  <si>
    <t>3336 Ford Rd</t>
  </si>
  <si>
    <t>792_2215</t>
  </si>
  <si>
    <t>Fox Meadows Elementary</t>
  </si>
  <si>
    <t>2960 Emerald St</t>
  </si>
  <si>
    <t>792_2230</t>
  </si>
  <si>
    <t>Gardenview Elementary</t>
  </si>
  <si>
    <t>4075 Hartz Dr</t>
  </si>
  <si>
    <t>792_2240</t>
  </si>
  <si>
    <t>Geeter Middle</t>
  </si>
  <si>
    <t>4649 Horn Lake RD</t>
  </si>
  <si>
    <t>792_2255</t>
  </si>
  <si>
    <t>Georgian Hills Middle</t>
  </si>
  <si>
    <t>3925 Denver St</t>
  </si>
  <si>
    <t>792_2258</t>
  </si>
  <si>
    <t>Germanshire Elementary</t>
  </si>
  <si>
    <t>3965 South Germantown RD</t>
  </si>
  <si>
    <t>792_2259</t>
  </si>
  <si>
    <t>Getwell Elementary</t>
  </si>
  <si>
    <t>2795 Getwell Road</t>
  </si>
  <si>
    <t>792_2260</t>
  </si>
  <si>
    <t>Goodlett Elementary</t>
  </si>
  <si>
    <t>3001 S Goodlett St</t>
  </si>
  <si>
    <t>792_2285</t>
  </si>
  <si>
    <t>Grahamwood Elementary</t>
  </si>
  <si>
    <t>3950 Summer Ave</t>
  </si>
  <si>
    <t>792_2310</t>
  </si>
  <si>
    <t>Hamilton Elementary</t>
  </si>
  <si>
    <t>1378 Ethlyn Ave</t>
  </si>
  <si>
    <t>792_2315</t>
  </si>
  <si>
    <t>Hamilton Middle</t>
  </si>
  <si>
    <t>1478 Wilson St</t>
  </si>
  <si>
    <t>Hamilton High</t>
  </si>
  <si>
    <t>1363 E Person Ave</t>
  </si>
  <si>
    <t>792_2325</t>
  </si>
  <si>
    <t>Havenview Middle</t>
  </si>
  <si>
    <t>1481 Hester Rd</t>
  </si>
  <si>
    <t>792_2330</t>
  </si>
  <si>
    <t>Hawkins Mill Elementary</t>
  </si>
  <si>
    <t>4295 Mountain Terrace St</t>
  </si>
  <si>
    <t>792_2331</t>
  </si>
  <si>
    <t>Hickory Ridge Elementary</t>
  </si>
  <si>
    <t>3890 Hickory Hill RD</t>
  </si>
  <si>
    <t>792_2333</t>
  </si>
  <si>
    <t>Hickory Ridge Middle</t>
  </si>
  <si>
    <t>3920 Ridgeway RD</t>
  </si>
  <si>
    <t>Hollis F. Price Middle College</t>
  </si>
  <si>
    <t>807 Walker Ave</t>
  </si>
  <si>
    <t>792_2343</t>
  </si>
  <si>
    <t>Holmes Road Elementary</t>
  </si>
  <si>
    <t>1083 E Holmes Rd</t>
  </si>
  <si>
    <t>792_2353</t>
  </si>
  <si>
    <t>Ida B. Wells Academy ES/MS</t>
  </si>
  <si>
    <t>995 S Lauderdale St</t>
  </si>
  <si>
    <t>792_2355</t>
  </si>
  <si>
    <t>Idlewild Elementary</t>
  </si>
  <si>
    <t>1950 Linden Ave</t>
  </si>
  <si>
    <t>792_2360</t>
  </si>
  <si>
    <t>Jackson Elementary</t>
  </si>
  <si>
    <t>3925 Wales Ave</t>
  </si>
  <si>
    <t>792_2362</t>
  </si>
  <si>
    <t>J. P. Freeman Elementary/Middle</t>
  </si>
  <si>
    <t>5250 Tulane Rd</t>
  </si>
  <si>
    <t>792_2368</t>
  </si>
  <si>
    <t>Keystone Elementary</t>
  </si>
  <si>
    <t>4301 Old Allen Rd</t>
  </si>
  <si>
    <t>792_2370</t>
  </si>
  <si>
    <t>Kingsbury Elementary</t>
  </si>
  <si>
    <t>4055 Bayliss Ave</t>
  </si>
  <si>
    <t>792_2373</t>
  </si>
  <si>
    <t>Kingsbury Middle</t>
  </si>
  <si>
    <t>1276 N Graham St</t>
  </si>
  <si>
    <t>Kingsbury High</t>
  </si>
  <si>
    <t>1270 N Graham St</t>
  </si>
  <si>
    <t>Kirby High</t>
  </si>
  <si>
    <t>4080 Kirby Pkwy</t>
  </si>
  <si>
    <t>792_2385</t>
  </si>
  <si>
    <t>Knight Road Elementary</t>
  </si>
  <si>
    <t>3237 Knight Rd</t>
  </si>
  <si>
    <t>792_2395</t>
  </si>
  <si>
    <t>Larose Elementary</t>
  </si>
  <si>
    <t>864 S Wellington St</t>
  </si>
  <si>
    <t>792_2435</t>
  </si>
  <si>
    <t>Levi Elementary</t>
  </si>
  <si>
    <t>135 W Levi Rd</t>
  </si>
  <si>
    <t>792_2463</t>
  </si>
  <si>
    <t>Lucie E. Campbell Elementary</t>
  </si>
  <si>
    <t>3232 Birchfield Dr</t>
  </si>
  <si>
    <t>792_2470</t>
  </si>
  <si>
    <t>Magnolia Elementary</t>
  </si>
  <si>
    <t>2061 Livewell Cr</t>
  </si>
  <si>
    <t>Manassas High</t>
  </si>
  <si>
    <t>1111 N Manassas St</t>
  </si>
  <si>
    <t>792_2483</t>
  </si>
  <si>
    <t>Manor Lake Elementary</t>
  </si>
  <si>
    <t>4900 Horn Lake RD</t>
  </si>
  <si>
    <t>Melrose High</t>
  </si>
  <si>
    <t>2870 Deadrick Ave</t>
  </si>
  <si>
    <t>750 E Parkway S</t>
  </si>
  <si>
    <t>Mitchell High</t>
  </si>
  <si>
    <t>658 WMitchell Rd</t>
  </si>
  <si>
    <t>792_2525</t>
  </si>
  <si>
    <t>Newberry Elementary</t>
  </si>
  <si>
    <t>5540 Newberry Ave</t>
  </si>
  <si>
    <t>792_2540</t>
  </si>
  <si>
    <t>Oakhaven Elementary</t>
  </si>
  <si>
    <t>3795 Bishops Bridge RD</t>
  </si>
  <si>
    <t>792_2543</t>
  </si>
  <si>
    <t>Oakhaven Middle</t>
  </si>
  <si>
    <t>3125 Ladbrook Rd</t>
  </si>
  <si>
    <t>Oakhaven High</t>
  </si>
  <si>
    <t>792_2550</t>
  </si>
  <si>
    <t>Oakshire Elementary</t>
  </si>
  <si>
    <t>1765 E Holmes Rd</t>
  </si>
  <si>
    <t>Overton High</t>
  </si>
  <si>
    <t>1770 Lanier Ln</t>
  </si>
  <si>
    <t>792_2570</t>
  </si>
  <si>
    <t>Peabody Elementary</t>
  </si>
  <si>
    <t>2086 Young Ave</t>
  </si>
  <si>
    <t>792_2597</t>
  </si>
  <si>
    <t>Raleigh-Bartlett Meadows Elementary</t>
  </si>
  <si>
    <t>5195 Twin Woods Ave</t>
  </si>
  <si>
    <t>Raleigh-Egypt High</t>
  </si>
  <si>
    <t>3970 Voltaire Ave</t>
  </si>
  <si>
    <t>792_2600</t>
  </si>
  <si>
    <t>5440 Rich Rd</t>
  </si>
  <si>
    <t>792_2610</t>
  </si>
  <si>
    <t>Balmoral/Ridgeway Elementary</t>
  </si>
  <si>
    <t>5905 Grosvenor Ave</t>
  </si>
  <si>
    <t>792_2612</t>
  </si>
  <si>
    <t>Ridgeway Middle</t>
  </si>
  <si>
    <t>6333 Quince RD</t>
  </si>
  <si>
    <t>Ridgeway High</t>
  </si>
  <si>
    <t>2009 Ridgeway</t>
  </si>
  <si>
    <t>792_2625</t>
  </si>
  <si>
    <t>Riverview Elementary/Middle</t>
  </si>
  <si>
    <t>241 Majuba Ave</t>
  </si>
  <si>
    <t>792_2626</t>
  </si>
  <si>
    <t>Robert R. Church Elementary</t>
  </si>
  <si>
    <t>4100 Millbranch Rd</t>
  </si>
  <si>
    <t>792_2627</t>
  </si>
  <si>
    <t>Ross Elementary</t>
  </si>
  <si>
    <t>4890 Ross Rd</t>
  </si>
  <si>
    <t>792_2630</t>
  </si>
  <si>
    <t>Rozelle Elementary</t>
  </si>
  <si>
    <t>993 Roland</t>
  </si>
  <si>
    <t>792_2633</t>
  </si>
  <si>
    <t>Scenic Hills Elementary</t>
  </si>
  <si>
    <t>3450 Scenic Hwy</t>
  </si>
  <si>
    <t>792_2637</t>
  </si>
  <si>
    <t>Sea Isle Elementary</t>
  </si>
  <si>
    <t>5250 Sea Isle Rd</t>
  </si>
  <si>
    <t>792_2640</t>
  </si>
  <si>
    <t>Shady Grove Elementary</t>
  </si>
  <si>
    <t>5360 Shady Grove RD</t>
  </si>
  <si>
    <t>792_2650</t>
  </si>
  <si>
    <t>Sharpe Elementary</t>
  </si>
  <si>
    <t>3431 Sharpe Rd</t>
  </si>
  <si>
    <t>792_2655</t>
  </si>
  <si>
    <t>Sheffield Elementary</t>
  </si>
  <si>
    <t>4290 Chuck Ave</t>
  </si>
  <si>
    <t>Sheffield High</t>
  </si>
  <si>
    <t>4315 Sheffield Ave</t>
  </si>
  <si>
    <t>792_2665</t>
  </si>
  <si>
    <t>Sherwood Elementary</t>
  </si>
  <si>
    <t>1156 Robinhood LN</t>
  </si>
  <si>
    <t>792_2670</t>
  </si>
  <si>
    <t>Sherwood Middle</t>
  </si>
  <si>
    <t>3480 Rhodes Ave</t>
  </si>
  <si>
    <t>792_2675</t>
  </si>
  <si>
    <t>Shrine School</t>
  </si>
  <si>
    <t>4259 Forest View Dr</t>
  </si>
  <si>
    <t>792_2680</t>
  </si>
  <si>
    <t>Shelby Oaks Elementary</t>
  </si>
  <si>
    <t>6053 Summer Ave</t>
  </si>
  <si>
    <t>792_2690</t>
  </si>
  <si>
    <t>Snowden Elementary/Middle</t>
  </si>
  <si>
    <t>1870 N Parkway</t>
  </si>
  <si>
    <t>792_2692</t>
  </si>
  <si>
    <t>Oak Forest Elementary</t>
  </si>
  <si>
    <t>7440 Nonconnah View Cv</t>
  </si>
  <si>
    <t>792_2695</t>
  </si>
  <si>
    <t>South Park Elementary</t>
  </si>
  <si>
    <t>1736 Getwell Rd</t>
  </si>
  <si>
    <t>792_2700</t>
  </si>
  <si>
    <t>Exceptional Children Special Placements</t>
  </si>
  <si>
    <t>160 S Hollywood</t>
  </si>
  <si>
    <t>792_2705</t>
  </si>
  <si>
    <t>880 N Hollywood St</t>
  </si>
  <si>
    <t>792_2715</t>
  </si>
  <si>
    <t>Treadwell Elementary</t>
  </si>
  <si>
    <t>3538 Given Ave</t>
  </si>
  <si>
    <t>792_2717</t>
  </si>
  <si>
    <t>Riverwood Elementary School</t>
  </si>
  <si>
    <t>1330 Stern Ln</t>
  </si>
  <si>
    <t>792_2723</t>
  </si>
  <si>
    <t>Treadwell Middle School</t>
  </si>
  <si>
    <t>920 N Highland St</t>
  </si>
  <si>
    <t>Trezevant High</t>
  </si>
  <si>
    <t>3350 N Trezevant St</t>
  </si>
  <si>
    <t>792_2730</t>
  </si>
  <si>
    <t>Vollentine Elementary</t>
  </si>
  <si>
    <t>1682 Vollintine Ave</t>
  </si>
  <si>
    <t>792_2740</t>
  </si>
  <si>
    <t>A. Maceo Walker Middle</t>
  </si>
  <si>
    <t>1900 East Raines RD</t>
  </si>
  <si>
    <t>792_2745</t>
  </si>
  <si>
    <t>Wells Station Elementary</t>
  </si>
  <si>
    <t>1610 Wells Station Rd</t>
  </si>
  <si>
    <t>792_2750</t>
  </si>
  <si>
    <t>3347 Dawn Dr</t>
  </si>
  <si>
    <t>Westwood High</t>
  </si>
  <si>
    <t>4480 Westmont Rd</t>
  </si>
  <si>
    <t>792_2777</t>
  </si>
  <si>
    <t>White Station Elementary</t>
  </si>
  <si>
    <t>4840 Chickasaw Rd</t>
  </si>
  <si>
    <t>White Station High</t>
  </si>
  <si>
    <t>514 S Perkins Rd</t>
  </si>
  <si>
    <t>792_2783</t>
  </si>
  <si>
    <t>White Station Middle</t>
  </si>
  <si>
    <t>5465 Mason Rd</t>
  </si>
  <si>
    <t>792_2785</t>
  </si>
  <si>
    <t>Whitehaven Elementary</t>
  </si>
  <si>
    <t>4783 Elvis Presley Blvd</t>
  </si>
  <si>
    <t>Whitehaven High</t>
  </si>
  <si>
    <t>4851 Elvis Presley Blvd</t>
  </si>
  <si>
    <t>792_2800</t>
  </si>
  <si>
    <t>Willow Oaks Elementary</t>
  </si>
  <si>
    <t>4417 Willow Rd</t>
  </si>
  <si>
    <t>792_2805</t>
  </si>
  <si>
    <t>Winchester Elementary</t>
  </si>
  <si>
    <t>3587 Boeingshire Dr</t>
  </si>
  <si>
    <t>792_2810</t>
  </si>
  <si>
    <t>Winridge Elementary</t>
  </si>
  <si>
    <t>3500 Ridgeway RD</t>
  </si>
  <si>
    <t>Wooddale High</t>
  </si>
  <si>
    <t>5151 Scottsdale</t>
  </si>
  <si>
    <t>Northwest Prep Academy</t>
  </si>
  <si>
    <t>1266 Poplar Ave</t>
  </si>
  <si>
    <t>Memphis Virtual School</t>
  </si>
  <si>
    <t>3772 Jackson AVE</t>
  </si>
  <si>
    <t>792_2835</t>
  </si>
  <si>
    <t>Grandview Heights Middle School</t>
  </si>
  <si>
    <t>2342 Clifton Rd</t>
  </si>
  <si>
    <t>792_2836</t>
  </si>
  <si>
    <t>Maxine Smith STEAM Academy</t>
  </si>
  <si>
    <t>792_2840</t>
  </si>
  <si>
    <t>Westhaven Elementary</t>
  </si>
  <si>
    <t>4585 Hodge Rd.</t>
  </si>
  <si>
    <t>792_8110</t>
  </si>
  <si>
    <t>DuBois Middle of Leadership Public Policy</t>
  </si>
  <si>
    <t>8146 E. Shelby DR</t>
  </si>
  <si>
    <t>792_8115</t>
  </si>
  <si>
    <t>DuBois Middle School of Arts Technology</t>
  </si>
  <si>
    <t>817 Brownlee RD</t>
  </si>
  <si>
    <t>DuBois High School of Arts Technology</t>
  </si>
  <si>
    <t>DuBois High of Leadership Public Policy</t>
  </si>
  <si>
    <t>792_8135</t>
  </si>
  <si>
    <t>DuBois Elementary School of Entrepreneurship</t>
  </si>
  <si>
    <t>4443 S. Germantown RD</t>
  </si>
  <si>
    <t>792_8140</t>
  </si>
  <si>
    <t>DuBois Elementary School of Arts Technology</t>
  </si>
  <si>
    <t>792_8145</t>
  </si>
  <si>
    <t>City University School Girls Preparatory</t>
  </si>
  <si>
    <t>1475 E. Shelby DR</t>
  </si>
  <si>
    <t>792_8150</t>
  </si>
  <si>
    <t>Arrow Academy of Excellence</t>
  </si>
  <si>
    <t>645 Semmes ST</t>
  </si>
  <si>
    <t>792_8155</t>
  </si>
  <si>
    <t>Freedom Preparatory Academy Elementary School</t>
  </si>
  <si>
    <t>3750 Millbranch RD</t>
  </si>
  <si>
    <t>792_8160</t>
  </si>
  <si>
    <t>Nexus STEM Academy Middle School</t>
  </si>
  <si>
    <t>8220 East Shelby DR</t>
  </si>
  <si>
    <t>792_8165</t>
  </si>
  <si>
    <t>Memphis STEM Academy</t>
  </si>
  <si>
    <t>2450 Frayser BLVD</t>
  </si>
  <si>
    <t>792_8170</t>
  </si>
  <si>
    <t>Memphis Delta Preparatory Charter School</t>
  </si>
  <si>
    <t>1299 E. McLemore AVE</t>
  </si>
  <si>
    <t>792_8175</t>
  </si>
  <si>
    <t>Aspire East Academy</t>
  </si>
  <si>
    <t>6870 Winchester RD</t>
  </si>
  <si>
    <t>792_8201</t>
  </si>
  <si>
    <t>Circles Of Success Learning Academy</t>
  </si>
  <si>
    <t>867 South Parkway East</t>
  </si>
  <si>
    <t>KIPP Memphis Collegiate High School</t>
  </si>
  <si>
    <t>2110 Howell AVE</t>
  </si>
  <si>
    <t>City University School Of Liberal Arts</t>
  </si>
  <si>
    <t>Memphis Academy Of Science Engineering Middle/High</t>
  </si>
  <si>
    <t>1254 Jefferson AVE</t>
  </si>
  <si>
    <t>Power Center Academy High School</t>
  </si>
  <si>
    <t>5390 Mendenhall Square Mall</t>
  </si>
  <si>
    <t>792_8207</t>
  </si>
  <si>
    <t>Memphis Business Academy Elementary School</t>
  </si>
  <si>
    <t>1082 Berclair</t>
  </si>
  <si>
    <t>792_8210</t>
  </si>
  <si>
    <t>Memphis Academy Of Health Sciences</t>
  </si>
  <si>
    <t>3608 Hawkins Mill</t>
  </si>
  <si>
    <t>Memphis Academy of Health Sciences High School</t>
  </si>
  <si>
    <t>3925 Chelsea Extended</t>
  </si>
  <si>
    <t>792_8215</t>
  </si>
  <si>
    <t>Memphis Business Academy Middle</t>
  </si>
  <si>
    <t>3306 Overton Crossing</t>
  </si>
  <si>
    <t>Memphis Business Academy High School</t>
  </si>
  <si>
    <t>792_8220</t>
  </si>
  <si>
    <t>Power Center Academy Middle</t>
  </si>
  <si>
    <t>6120 Winchester RD</t>
  </si>
  <si>
    <t>792_8225</t>
  </si>
  <si>
    <t>Promise Academy</t>
  </si>
  <si>
    <t>1346 Bryan ST</t>
  </si>
  <si>
    <t>792_8228</t>
  </si>
  <si>
    <t>Southern Avenue Charter School Of Academic Excellence Creative Arts</t>
  </si>
  <si>
    <t>2221 Democrat RD</t>
  </si>
  <si>
    <t>792_8230</t>
  </si>
  <si>
    <t>Star Academy</t>
  </si>
  <si>
    <t>3240 James RD</t>
  </si>
  <si>
    <t>Soulsville Charter School</t>
  </si>
  <si>
    <t>1115 College ST</t>
  </si>
  <si>
    <t>Freedom Preparatory Academy</t>
  </si>
  <si>
    <t>5132 Jonetta RD</t>
  </si>
  <si>
    <t>792_8236</t>
  </si>
  <si>
    <t>City University Boys Preparatory</t>
  </si>
  <si>
    <t>792_8238</t>
  </si>
  <si>
    <t>KIPP Memphis Collegiate Middle</t>
  </si>
  <si>
    <t>2110 Howell</t>
  </si>
  <si>
    <t>792_8240</t>
  </si>
  <si>
    <t>Memphis College Preparatory</t>
  </si>
  <si>
    <t>1500 Dunn AVE</t>
  </si>
  <si>
    <t>Memphis School of Excellence</t>
  </si>
  <si>
    <t>4921 Winchester RD</t>
  </si>
  <si>
    <t>792_8254</t>
  </si>
  <si>
    <t>Veritas College Preparatory</t>
  </si>
  <si>
    <t>792_8256</t>
  </si>
  <si>
    <t>Aurora Collegiate Academy</t>
  </si>
  <si>
    <t>3804 Given AVE</t>
  </si>
  <si>
    <t>792_8258</t>
  </si>
  <si>
    <t>KIPP Memphis Middle Academy</t>
  </si>
  <si>
    <t>792_8260</t>
  </si>
  <si>
    <t>Memphis Grizzlies Preparatory Charter School</t>
  </si>
  <si>
    <t>168 Jefferson AVE</t>
  </si>
  <si>
    <t>792_8262</t>
  </si>
  <si>
    <t>KIPP Memphis Collegiate Elementary</t>
  </si>
  <si>
    <t>230 Henry AVE</t>
  </si>
  <si>
    <t>792_8264</t>
  </si>
  <si>
    <t>Memphis Rise Academy</t>
  </si>
  <si>
    <t>5130 Raleigh LaGrange</t>
  </si>
  <si>
    <t>792_8265</t>
  </si>
  <si>
    <t>City University School of Independence</t>
  </si>
  <si>
    <t>1475 East Shelby DR</t>
  </si>
  <si>
    <t>792_8266</t>
  </si>
  <si>
    <t>Vision Preparatory Charter School</t>
  </si>
  <si>
    <t>260 Joubert AVE</t>
  </si>
  <si>
    <t>792_8270</t>
  </si>
  <si>
    <t>Power Center Academy Elementary School</t>
  </si>
  <si>
    <t>The Excel Center</t>
  </si>
  <si>
    <t>1490 Norris RD</t>
  </si>
  <si>
    <t>792_8280</t>
  </si>
  <si>
    <t>Granville T. Woods Academy of Innovation Charter School</t>
  </si>
  <si>
    <t>3824 Austin Peay HWY</t>
  </si>
  <si>
    <t>792_8285</t>
  </si>
  <si>
    <t>Leadership Preparatory Charter School</t>
  </si>
  <si>
    <t>4190 Elliston RD</t>
  </si>
  <si>
    <t>792_8295</t>
  </si>
  <si>
    <t>Gateway University</t>
  </si>
  <si>
    <t>6165 Stage RD</t>
  </si>
  <si>
    <t>792_8300</t>
  </si>
  <si>
    <t>Kaleidoscope School of Memphis</t>
  </si>
  <si>
    <t>110 North Court AVE</t>
  </si>
  <si>
    <t>792_8305</t>
  </si>
  <si>
    <t>Legacy Leadership Academy Inc.</t>
  </si>
  <si>
    <t>3333 Old Brownsville RD</t>
  </si>
  <si>
    <t>792_8310</t>
  </si>
  <si>
    <t>Memphis School of Excellence Elementary</t>
  </si>
  <si>
    <t>4450 S Mendenhall RD, St 1</t>
  </si>
  <si>
    <t>792_8315</t>
  </si>
  <si>
    <t>Nexus STEM Academy Elementary School</t>
  </si>
  <si>
    <t>8220 E Shelby DR</t>
  </si>
  <si>
    <t>792_8320</t>
  </si>
  <si>
    <t>Southwest Early College High School</t>
  </si>
  <si>
    <t>737 Union AVE, Bldg. E 1st Floor</t>
  </si>
  <si>
    <t>Arlington High</t>
  </si>
  <si>
    <t>5475 Airline RD</t>
  </si>
  <si>
    <t>793_5</t>
  </si>
  <si>
    <t>Arlington Elementary</t>
  </si>
  <si>
    <t>11825 Douglas</t>
  </si>
  <si>
    <t>793_6</t>
  </si>
  <si>
    <t>Arlington Middle</t>
  </si>
  <si>
    <t>5470 Lamb RD</t>
  </si>
  <si>
    <t>793_195</t>
  </si>
  <si>
    <t>Donelson Elementary</t>
  </si>
  <si>
    <t>12140 Donelson Farms PKWY</t>
  </si>
  <si>
    <t>794_3</t>
  </si>
  <si>
    <t>Altruria Elementary</t>
  </si>
  <si>
    <t>6641 Deermont DR</t>
  </si>
  <si>
    <t>794_7</t>
  </si>
  <si>
    <t>Appling Middle School</t>
  </si>
  <si>
    <t>3700 Appling RD</t>
  </si>
  <si>
    <t>794_20</t>
  </si>
  <si>
    <t>Bartlett Elementary School</t>
  </si>
  <si>
    <t>3932 Billy Maher RD</t>
  </si>
  <si>
    <t>Bartlett High School</t>
  </si>
  <si>
    <t>5688 Woodlawn AVE</t>
  </si>
  <si>
    <t>794_30</t>
  </si>
  <si>
    <t>Bon Lin Elementary School</t>
  </si>
  <si>
    <t>3940 Germantown RD</t>
  </si>
  <si>
    <t>794_33</t>
  </si>
  <si>
    <t>Bon Lin Middle School</t>
  </si>
  <si>
    <t>3862 Germantown RD</t>
  </si>
  <si>
    <t>794_90</t>
  </si>
  <si>
    <t>Ellendale Elementary</t>
  </si>
  <si>
    <t>6950 Dawn Hill</t>
  </si>
  <si>
    <t>794_95</t>
  </si>
  <si>
    <t>Elmore Park Middle School</t>
  </si>
  <si>
    <t>6330 Althorne RD</t>
  </si>
  <si>
    <t>794_150</t>
  </si>
  <si>
    <t>Oak Elementary</t>
  </si>
  <si>
    <t>3573 Oak RD</t>
  </si>
  <si>
    <t>794_155</t>
  </si>
  <si>
    <t>Rivercrest Elementary</t>
  </si>
  <si>
    <t>4825 Rivercrest</t>
  </si>
  <si>
    <t>795_8</t>
  </si>
  <si>
    <t>Bailey Station Elementary School</t>
  </si>
  <si>
    <t>3435 Bailey Station RD</t>
  </si>
  <si>
    <t>795_55</t>
  </si>
  <si>
    <t>Collierville Elementary School</t>
  </si>
  <si>
    <t>590 Peterson Lake RD</t>
  </si>
  <si>
    <t>Collierville High School</t>
  </si>
  <si>
    <t>1101 N. Byhalia RD</t>
  </si>
  <si>
    <t>795_63</t>
  </si>
  <si>
    <t>Collierville Middle School</t>
  </si>
  <si>
    <t>580 Quinn RD</t>
  </si>
  <si>
    <t>795_65</t>
  </si>
  <si>
    <t>Crosswind Elementary School</t>
  </si>
  <si>
    <t>831 West Shelton RD</t>
  </si>
  <si>
    <t>795_168</t>
  </si>
  <si>
    <t>Schilling Farms Middle</t>
  </si>
  <si>
    <t>935 S Colbert ST</t>
  </si>
  <si>
    <t>795_183</t>
  </si>
  <si>
    <t>Sycamore Elementary School</t>
  </si>
  <si>
    <t>1155 Sycamore RD</t>
  </si>
  <si>
    <t>795_190</t>
  </si>
  <si>
    <t>Tara Oaks Elementary School</t>
  </si>
  <si>
    <t>600 Harpers Ferry RD</t>
  </si>
  <si>
    <t>796_70</t>
  </si>
  <si>
    <t>Dogwood Elementary School</t>
  </si>
  <si>
    <t>8945 Dogwood RD</t>
  </si>
  <si>
    <t>796_100</t>
  </si>
  <si>
    <t>Farmington Elementary School</t>
  </si>
  <si>
    <t>2085 Cordes RD</t>
  </si>
  <si>
    <t>796_109</t>
  </si>
  <si>
    <t>Houston Middle School</t>
  </si>
  <si>
    <t>9400 Wolf River BLVD</t>
  </si>
  <si>
    <t>Houston High School</t>
  </si>
  <si>
    <t>9755 Wolf River BLVD</t>
  </si>
  <si>
    <t>796_160</t>
  </si>
  <si>
    <t>Riverdale Elementary School</t>
  </si>
  <si>
    <t>7391 Neshoba RD</t>
  </si>
  <si>
    <t>797_116</t>
  </si>
  <si>
    <t>Lakeland Elementary School</t>
  </si>
  <si>
    <t>10050 Oak Seed LN</t>
  </si>
  <si>
    <t>Lakeland</t>
  </si>
  <si>
    <t>797_120</t>
  </si>
  <si>
    <t>Lakeland Middle Preparatory School</t>
  </si>
  <si>
    <t>5020 Lions Crest DR</t>
  </si>
  <si>
    <t>798_78</t>
  </si>
  <si>
    <t>E.A. Harrold Elementary School</t>
  </si>
  <si>
    <t>4943 West Union RD</t>
  </si>
  <si>
    <t>798_123</t>
  </si>
  <si>
    <t>Millington Elementary School</t>
  </si>
  <si>
    <t>6445 William Osteen DR</t>
  </si>
  <si>
    <t>Millington Central High School</t>
  </si>
  <si>
    <t>8050 West ST</t>
  </si>
  <si>
    <t>798_133</t>
  </si>
  <si>
    <t>Millington Middle School</t>
  </si>
  <si>
    <t>4964 Cuba Millington RD</t>
  </si>
  <si>
    <t>800_5</t>
  </si>
  <si>
    <t>Carthage Elementary</t>
  </si>
  <si>
    <t>149 Skyline DR</t>
  </si>
  <si>
    <t>Carthage</t>
  </si>
  <si>
    <t>800_15</t>
  </si>
  <si>
    <t>Defeated Elementary</t>
  </si>
  <si>
    <t>451 Defeated Creek HWY</t>
  </si>
  <si>
    <t>800_20</t>
  </si>
  <si>
    <t>Forks River Elementary</t>
  </si>
  <si>
    <t>611 Cookeville HWY</t>
  </si>
  <si>
    <t>Elmwood</t>
  </si>
  <si>
    <t>Gordonsville High School</t>
  </si>
  <si>
    <t>110 Main Street East</t>
  </si>
  <si>
    <t>Gordonsville</t>
  </si>
  <si>
    <t>800_30</t>
  </si>
  <si>
    <t>Gordonsville Elementary School</t>
  </si>
  <si>
    <t>104 Main Street East</t>
  </si>
  <si>
    <t>800_35</t>
  </si>
  <si>
    <t>New Middleton Elementary</t>
  </si>
  <si>
    <t>402 New Middleton HWY</t>
  </si>
  <si>
    <t>Smith County High School</t>
  </si>
  <si>
    <t>312 Fite AVE</t>
  </si>
  <si>
    <t>800_51</t>
  </si>
  <si>
    <t>Smith County Middle School</t>
  </si>
  <si>
    <t>134 Smith County Middle School LN</t>
  </si>
  <si>
    <t>800_60</t>
  </si>
  <si>
    <t>663 Lebanon HWY</t>
  </si>
  <si>
    <t>810_10</t>
  </si>
  <si>
    <t>Stewart County Middle School</t>
  </si>
  <si>
    <t>723 Spring ST</t>
  </si>
  <si>
    <t>Dover</t>
  </si>
  <si>
    <t>810_15</t>
  </si>
  <si>
    <t>Dover Elementary</t>
  </si>
  <si>
    <t>115 Dr. Robert H. Lee</t>
  </si>
  <si>
    <t>810_17</t>
  </si>
  <si>
    <t>North Stewart Elementary</t>
  </si>
  <si>
    <t>2201 Hwy 79</t>
  </si>
  <si>
    <t>Big Rock</t>
  </si>
  <si>
    <t>Stewart Co High School</t>
  </si>
  <si>
    <t>120 Robertson Hill RD</t>
  </si>
  <si>
    <t>820_25</t>
  </si>
  <si>
    <t>Blountville Elementary</t>
  </si>
  <si>
    <t>155 School AVE</t>
  </si>
  <si>
    <t>Blountville</t>
  </si>
  <si>
    <t>820_30</t>
  </si>
  <si>
    <t>Blountville Middle School</t>
  </si>
  <si>
    <t>1651 Blountville BLVD</t>
  </si>
  <si>
    <t>820_35</t>
  </si>
  <si>
    <t>Bluff City Elementary</t>
  </si>
  <si>
    <t>282 Maple DR</t>
  </si>
  <si>
    <t>Bluff City</t>
  </si>
  <si>
    <t>820_40</t>
  </si>
  <si>
    <t>Bluff City Middle School</t>
  </si>
  <si>
    <t>337 Carter ST</t>
  </si>
  <si>
    <t>820_55</t>
  </si>
  <si>
    <t>Central Heights Elementary</t>
  </si>
  <si>
    <t>158 Central Heights RD</t>
  </si>
  <si>
    <t>Sullivan Central High School</t>
  </si>
  <si>
    <t>131 Shipley Ferry RD</t>
  </si>
  <si>
    <t>820_75</t>
  </si>
  <si>
    <t>Colonial Heights Middle</t>
  </si>
  <si>
    <t>415 Lebanon RD</t>
  </si>
  <si>
    <t>Sullivan East High School</t>
  </si>
  <si>
    <t>4180 Weaver PIKE</t>
  </si>
  <si>
    <t>820_85</t>
  </si>
  <si>
    <t>Emmett Elementary</t>
  </si>
  <si>
    <t>753 Emmett RD</t>
  </si>
  <si>
    <t>820_95</t>
  </si>
  <si>
    <t>Holston Elementary</t>
  </si>
  <si>
    <t>2348 Hwy 75</t>
  </si>
  <si>
    <t>820_100</t>
  </si>
  <si>
    <t>820_110</t>
  </si>
  <si>
    <t>Holston Valley Middle School</t>
  </si>
  <si>
    <t>1717 Bristol Caverns HWY</t>
  </si>
  <si>
    <t>820_115</t>
  </si>
  <si>
    <t>Indian Springs Elementary</t>
  </si>
  <si>
    <t>333 Hill RD</t>
  </si>
  <si>
    <t>820_150</t>
  </si>
  <si>
    <t>Mary Hughes School</t>
  </si>
  <si>
    <t>240 Austin Springs RD</t>
  </si>
  <si>
    <t>Piney Flats</t>
  </si>
  <si>
    <t>820_155</t>
  </si>
  <si>
    <t>Miller Perry Elementary</t>
  </si>
  <si>
    <t>904 Fordtown RD</t>
  </si>
  <si>
    <t>820_170</t>
  </si>
  <si>
    <t>1238 Moreland DR</t>
  </si>
  <si>
    <t>820_175</t>
  </si>
  <si>
    <t>Sullivan Gardens K-8</t>
  </si>
  <si>
    <t>209 Rosemont AVE</t>
  </si>
  <si>
    <t>Sullivan North High School</t>
  </si>
  <si>
    <t>2533 J B Dennis Bypass</t>
  </si>
  <si>
    <t>Sullivan South High School</t>
  </si>
  <si>
    <t>1236 Moreland DR</t>
  </si>
  <si>
    <t>820_200</t>
  </si>
  <si>
    <t>Weaver Elementary</t>
  </si>
  <si>
    <t>3341 Weaver PIKE</t>
  </si>
  <si>
    <t>820_210</t>
  </si>
  <si>
    <t>2533 John B. Denis By-Pass</t>
  </si>
  <si>
    <t>820_215</t>
  </si>
  <si>
    <t>Ketron Elementary School</t>
  </si>
  <si>
    <t>3301 Bloomington PIKE</t>
  </si>
  <si>
    <t>820_220</t>
  </si>
  <si>
    <t>Innovation Academy</t>
  </si>
  <si>
    <t>149 Brookside School LN</t>
  </si>
  <si>
    <t>821_5</t>
  </si>
  <si>
    <t>Anderson Elementary</t>
  </si>
  <si>
    <t>901 Ninth ST</t>
  </si>
  <si>
    <t>821_7</t>
  </si>
  <si>
    <t>Avoca Elementary</t>
  </si>
  <si>
    <t>2440 Volunteer PKWY</t>
  </si>
  <si>
    <t>821_20</t>
  </si>
  <si>
    <t>Fairmount Elementary</t>
  </si>
  <si>
    <t>821 Virginia AVE</t>
  </si>
  <si>
    <t>821_25</t>
  </si>
  <si>
    <t>Haynesfield Elementary</t>
  </si>
  <si>
    <t>201 Bluff City HWY</t>
  </si>
  <si>
    <t>821_30</t>
  </si>
  <si>
    <t>Holston View Elementary</t>
  </si>
  <si>
    <t>1840 King College RD</t>
  </si>
  <si>
    <t>821_35</t>
  </si>
  <si>
    <t>Vance Middle School</t>
  </si>
  <si>
    <t>815 Edgemont Avenue</t>
  </si>
  <si>
    <t>Tennessee High School</t>
  </si>
  <si>
    <t>1112 Edgemont Avenue</t>
  </si>
  <si>
    <t>Tennessee Online Public School</t>
  </si>
  <si>
    <t>615 MLK Jr. BLVD</t>
  </si>
  <si>
    <t>Dobyns - Bennett High School</t>
  </si>
  <si>
    <t>1 Tribe Way</t>
  </si>
  <si>
    <t>822_15</t>
  </si>
  <si>
    <t>600 Jackson ST</t>
  </si>
  <si>
    <t>822_20</t>
  </si>
  <si>
    <t>Thomas Jefferson Elementary School</t>
  </si>
  <si>
    <t>2216 Westmoreland AVE</t>
  </si>
  <si>
    <t>822_25</t>
  </si>
  <si>
    <t>Andrew Johnson Elementary School</t>
  </si>
  <si>
    <t>1001 Ormond DR</t>
  </si>
  <si>
    <t>822_28</t>
  </si>
  <si>
    <t>John F. Kennedy Elementary School</t>
  </si>
  <si>
    <t>1500 Woodland AVE</t>
  </si>
  <si>
    <t>822_30</t>
  </si>
  <si>
    <t>Abraham Lincoln Elementary School</t>
  </si>
  <si>
    <t>1000 Summer ST</t>
  </si>
  <si>
    <t>822_32</t>
  </si>
  <si>
    <t>John Adams Elementary School</t>
  </si>
  <si>
    <t>2727 Edinburgh Channel RD</t>
  </si>
  <si>
    <t>822_40</t>
  </si>
  <si>
    <t>Ross N. Robinson Middle School</t>
  </si>
  <si>
    <t>1517 Jessee ST</t>
  </si>
  <si>
    <t>822_45</t>
  </si>
  <si>
    <t>John Sevier Middle School</t>
  </si>
  <si>
    <t>1200 Wateree ST</t>
  </si>
  <si>
    <t>822_50</t>
  </si>
  <si>
    <t>George Washington Elementary School</t>
  </si>
  <si>
    <t>1100 Bellingham DR</t>
  </si>
  <si>
    <t>822_55</t>
  </si>
  <si>
    <t>Theodore Roosevelt Elementary School</t>
  </si>
  <si>
    <t>1051 Lake ST</t>
  </si>
  <si>
    <t>830_3</t>
  </si>
  <si>
    <t>Jack Anderson Elementary</t>
  </si>
  <si>
    <t>250 Shutes LN</t>
  </si>
  <si>
    <t>Hendersonville</t>
  </si>
  <si>
    <t>830_5</t>
  </si>
  <si>
    <t>Beech Elementary</t>
  </si>
  <si>
    <t>3120 Long Hollow PIKE</t>
  </si>
  <si>
    <t>Beech Sr High School</t>
  </si>
  <si>
    <t>3126 Long Hollow PIKE</t>
  </si>
  <si>
    <t>830_10</t>
  </si>
  <si>
    <t>Bethpage Elementary</t>
  </si>
  <si>
    <t>420 Old Highway 31 E</t>
  </si>
  <si>
    <t>Bethpage</t>
  </si>
  <si>
    <t>830_15</t>
  </si>
  <si>
    <t>Robert E Ellis Middle</t>
  </si>
  <si>
    <t>100 Indian Lake RD</t>
  </si>
  <si>
    <t>Gallatin Senior High School</t>
  </si>
  <si>
    <t>700 Dan P. Herron DR</t>
  </si>
  <si>
    <t>Gallatin</t>
  </si>
  <si>
    <t>830_30</t>
  </si>
  <si>
    <t>Guild Elementary</t>
  </si>
  <si>
    <t>1018 South Water ST</t>
  </si>
  <si>
    <t>830_35</t>
  </si>
  <si>
    <t>Gene W. Brown Elementary</t>
  </si>
  <si>
    <t>174 Imperial BLVD</t>
  </si>
  <si>
    <t>Hendersonville High School</t>
  </si>
  <si>
    <t>123 Cherokee RD</t>
  </si>
  <si>
    <t>830_50</t>
  </si>
  <si>
    <t>Howard Elementary</t>
  </si>
  <si>
    <t>805 Long Hollow PIKE</t>
  </si>
  <si>
    <t>830_51</t>
  </si>
  <si>
    <t>T. W. Hunter Middle School</t>
  </si>
  <si>
    <t>2101 New Hope RD</t>
  </si>
  <si>
    <t>830_52</t>
  </si>
  <si>
    <t>Indian Lake Elementary</t>
  </si>
  <si>
    <t>505 Indian Lake RD</t>
  </si>
  <si>
    <t>Merrol Hyde Magnet School</t>
  </si>
  <si>
    <t>128 Township DR</t>
  </si>
  <si>
    <t>830_54</t>
  </si>
  <si>
    <t>J W Wiseman Elementary</t>
  </si>
  <si>
    <t>922 South Broadway</t>
  </si>
  <si>
    <t>Portland</t>
  </si>
  <si>
    <t>830_55</t>
  </si>
  <si>
    <t>Lakeside Park Elementary</t>
  </si>
  <si>
    <t>204 Dolphus DR</t>
  </si>
  <si>
    <t>830_56</t>
  </si>
  <si>
    <t>Station Camp Middle School</t>
  </si>
  <si>
    <t>281 Big Station Camp BLVD</t>
  </si>
  <si>
    <t>830_57</t>
  </si>
  <si>
    <t>Madison Creek Elementary</t>
  </si>
  <si>
    <t>1040 Madison Creek RD</t>
  </si>
  <si>
    <t>830_60</t>
  </si>
  <si>
    <t>Millersville Elementary</t>
  </si>
  <si>
    <t>1248 Louisville HWY</t>
  </si>
  <si>
    <t>830_65</t>
  </si>
  <si>
    <t>Nannie Berry Elementary</t>
  </si>
  <si>
    <t>138 Indian Lake RD</t>
  </si>
  <si>
    <t>830_70</t>
  </si>
  <si>
    <t>Watt Hardison Elementary</t>
  </si>
  <si>
    <t>300 Gibson ST</t>
  </si>
  <si>
    <t>830_75</t>
  </si>
  <si>
    <t>North Sumner Elementary</t>
  </si>
  <si>
    <t>1485 North Sumner RD</t>
  </si>
  <si>
    <t>830_80</t>
  </si>
  <si>
    <t>3323 Highway 76</t>
  </si>
  <si>
    <t>Cottontown</t>
  </si>
  <si>
    <t>Portland High School</t>
  </si>
  <si>
    <t>600 College ST</t>
  </si>
  <si>
    <t>830_90</t>
  </si>
  <si>
    <t>Portland East Middle School</t>
  </si>
  <si>
    <t>604 South Broadway</t>
  </si>
  <si>
    <t>E B Wilson</t>
  </si>
  <si>
    <t>695 E Main St RD</t>
  </si>
  <si>
    <t>830_95</t>
  </si>
  <si>
    <t>Clyde Riggs Elementary</t>
  </si>
  <si>
    <t>211 Fountain Head RD</t>
  </si>
  <si>
    <t>830_97</t>
  </si>
  <si>
    <t>Joe Shafer Middle School</t>
  </si>
  <si>
    <t>240 Albert Gallatin BLVD</t>
  </si>
  <si>
    <t>830_100</t>
  </si>
  <si>
    <t>Rucker Stewart Middle</t>
  </si>
  <si>
    <t>350 Hancock ST</t>
  </si>
  <si>
    <t>830_101</t>
  </si>
  <si>
    <t>Station Camp Elementary</t>
  </si>
  <si>
    <t>1020 Bison TRL</t>
  </si>
  <si>
    <t>Station Camp High School</t>
  </si>
  <si>
    <t>1040 Bison TRL</t>
  </si>
  <si>
    <t>830_104</t>
  </si>
  <si>
    <t>Benny C. Bills Elementary School</t>
  </si>
  <si>
    <t>1030 Union School RD</t>
  </si>
  <si>
    <t>830_105</t>
  </si>
  <si>
    <t>Union Elementary School</t>
  </si>
  <si>
    <t>516 Carson ST</t>
  </si>
  <si>
    <t>830_107</t>
  </si>
  <si>
    <t>V G Hawkins Middle School</t>
  </si>
  <si>
    <t>487 A. Walton Ferry RD</t>
  </si>
  <si>
    <t>830_109</t>
  </si>
  <si>
    <t>Vena Stuart Elementary</t>
  </si>
  <si>
    <t>780 Hart ST</t>
  </si>
  <si>
    <t>830_112</t>
  </si>
  <si>
    <t>Walton Ferry Elementary</t>
  </si>
  <si>
    <t>732 Walton Ferry RD</t>
  </si>
  <si>
    <t>830_113</t>
  </si>
  <si>
    <t>George A Whitten Elementary</t>
  </si>
  <si>
    <t>140 Scotch ST</t>
  </si>
  <si>
    <t>830_115</t>
  </si>
  <si>
    <t>Westmoreland Elementary</t>
  </si>
  <si>
    <t>4178 Hawkins DR</t>
  </si>
  <si>
    <t>830_117</t>
  </si>
  <si>
    <t>Westmoreland Middle School</t>
  </si>
  <si>
    <t>4128 Hawkins DR</t>
  </si>
  <si>
    <t>Westmoreland High School</t>
  </si>
  <si>
    <t>4300 Hawkins DR</t>
  </si>
  <si>
    <t>White House High School</t>
  </si>
  <si>
    <t>508 Tyree Springs RD</t>
  </si>
  <si>
    <t>830_130</t>
  </si>
  <si>
    <t>White House Middle School</t>
  </si>
  <si>
    <t>2020 Highway 31 West</t>
  </si>
  <si>
    <t>830_135</t>
  </si>
  <si>
    <t>Knox Doss Middle School at Drakes Creek</t>
  </si>
  <si>
    <t>1338 Drakes Creek RD</t>
  </si>
  <si>
    <t>830_140</t>
  </si>
  <si>
    <t>Portland West Middle School</t>
  </si>
  <si>
    <t>110 Nolan Private DR</t>
  </si>
  <si>
    <t>830_150</t>
  </si>
  <si>
    <t>Harold B. Williams Elementary School</t>
  </si>
  <si>
    <t>115 South Palmer Chapel RD</t>
  </si>
  <si>
    <t>830_152</t>
  </si>
  <si>
    <t>Portland Gateview Elementary School</t>
  </si>
  <si>
    <t>1098 Gateview DR</t>
  </si>
  <si>
    <t>Sumner County Middle College High School</t>
  </si>
  <si>
    <t>1480 Nashville PIKE, Wood Campus Circle 217B</t>
  </si>
  <si>
    <t>830_160</t>
  </si>
  <si>
    <t>Dr. William Burrus Elementary at Drakes Creek</t>
  </si>
  <si>
    <t>1336 Drakes Creek RD</t>
  </si>
  <si>
    <t>840_2</t>
  </si>
  <si>
    <t>Austin Peay Elementary School</t>
  </si>
  <si>
    <t>474 Academic DR</t>
  </si>
  <si>
    <t>Covington</t>
  </si>
  <si>
    <t>840_4</t>
  </si>
  <si>
    <t>Atoka Elementary School</t>
  </si>
  <si>
    <t>870 Rosemark RD</t>
  </si>
  <si>
    <t>Atoka</t>
  </si>
  <si>
    <t>840_7</t>
  </si>
  <si>
    <t>Brighton Elementary</t>
  </si>
  <si>
    <t>1201 Old Highway 51 South</t>
  </si>
  <si>
    <t>Brighton</t>
  </si>
  <si>
    <t>Brighton High School</t>
  </si>
  <si>
    <t>8045 Hwy 51 South</t>
  </si>
  <si>
    <t>840_12</t>
  </si>
  <si>
    <t>Brighton Middle School</t>
  </si>
  <si>
    <t>7785 Hwy 51 South</t>
  </si>
  <si>
    <t>840_13</t>
  </si>
  <si>
    <t>Crestview Middle School</t>
  </si>
  <si>
    <t>201 Mark A. Walker BLVD</t>
  </si>
  <si>
    <t>840_14</t>
  </si>
  <si>
    <t>Covington Integrated Arts Academy</t>
  </si>
  <si>
    <t>760 Bert Johnston AVE</t>
  </si>
  <si>
    <t>Covington High School</t>
  </si>
  <si>
    <t>803 South College</t>
  </si>
  <si>
    <t>840_17</t>
  </si>
  <si>
    <t>Crestview Elementary</t>
  </si>
  <si>
    <t>151 Mark A. Walker BLVD</t>
  </si>
  <si>
    <t>840_20</t>
  </si>
  <si>
    <t>Drummonds Elementary</t>
  </si>
  <si>
    <t>5068 Drummonds RD, Box 178</t>
  </si>
  <si>
    <t>Drummonds</t>
  </si>
  <si>
    <t>840_45</t>
  </si>
  <si>
    <t>Munford Elementary</t>
  </si>
  <si>
    <t>1200 McLaughlin DR</t>
  </si>
  <si>
    <t>Munford</t>
  </si>
  <si>
    <t>840_48</t>
  </si>
  <si>
    <t>Munford Middle School</t>
  </si>
  <si>
    <t>100 Education AVE</t>
  </si>
  <si>
    <t>Munford High School</t>
  </si>
  <si>
    <t>1080 McLaughlin DR</t>
  </si>
  <si>
    <t>850_5</t>
  </si>
  <si>
    <t>Trousdale Co Elementary</t>
  </si>
  <si>
    <t>115 Lock Six RD</t>
  </si>
  <si>
    <t>Hartsville</t>
  </si>
  <si>
    <t>Trousdale Co High School</t>
  </si>
  <si>
    <t>262 Mc Murry Blvd West</t>
  </si>
  <si>
    <t>850_15</t>
  </si>
  <si>
    <t>Jim Satterfield Middle School</t>
  </si>
  <si>
    <t>210 Damascus AVE</t>
  </si>
  <si>
    <t>860_5</t>
  </si>
  <si>
    <t>Unicoi Co Middle School</t>
  </si>
  <si>
    <t>600 South Mohawk DR</t>
  </si>
  <si>
    <t>Erwin</t>
  </si>
  <si>
    <t>860_15</t>
  </si>
  <si>
    <t>Love Chapel Elementary</t>
  </si>
  <si>
    <t>600 S. Mohawk DR</t>
  </si>
  <si>
    <t>860_25</t>
  </si>
  <si>
    <t>1121 E Erwin RD</t>
  </si>
  <si>
    <t>860_30</t>
  </si>
  <si>
    <t>Temple Hill Elementary</t>
  </si>
  <si>
    <t>797 Old Highway RD</t>
  </si>
  <si>
    <t>Unicoi Co High School</t>
  </si>
  <si>
    <t>700 South Mohawk DR</t>
  </si>
  <si>
    <t>860_40</t>
  </si>
  <si>
    <t>Unicoi Elementary</t>
  </si>
  <si>
    <t>404 Massachusetts AVE</t>
  </si>
  <si>
    <t>Unicoi</t>
  </si>
  <si>
    <t>870_5</t>
  </si>
  <si>
    <t>3420 Hickory Val RD</t>
  </si>
  <si>
    <t>Maynardville</t>
  </si>
  <si>
    <t>870_25</t>
  </si>
  <si>
    <t>H Maynard Middle School</t>
  </si>
  <si>
    <t>435 Main ST</t>
  </si>
  <si>
    <t>870_35</t>
  </si>
  <si>
    <t>Luttrell Elementary</t>
  </si>
  <si>
    <t>241 Tazewell PIKE</t>
  </si>
  <si>
    <t>Luttrell</t>
  </si>
  <si>
    <t>870_40</t>
  </si>
  <si>
    <t>Maynardville Elementary</t>
  </si>
  <si>
    <t>615 Main ST</t>
  </si>
  <si>
    <t>870_45</t>
  </si>
  <si>
    <t>Sharps Chapel Elementary</t>
  </si>
  <si>
    <t>1550 Sharps Chapel RD</t>
  </si>
  <si>
    <t>Sharps Chapel</t>
  </si>
  <si>
    <t>Union County High School</t>
  </si>
  <si>
    <t>150 Main ST</t>
  </si>
  <si>
    <t>870_57</t>
  </si>
  <si>
    <t>Paulette Elementary School</t>
  </si>
  <si>
    <t>1001 Maynardville</t>
  </si>
  <si>
    <t>870_60</t>
  </si>
  <si>
    <t>Tennessee Virtual Academy</t>
  </si>
  <si>
    <t>115 Wilson</t>
  </si>
  <si>
    <t>880_30</t>
  </si>
  <si>
    <t>Spencer Elementary</t>
  </si>
  <si>
    <t>311 Sparta Street</t>
  </si>
  <si>
    <t>Spencer</t>
  </si>
  <si>
    <t>Van Buren Co High School</t>
  </si>
  <si>
    <t>337 Sparta Street</t>
  </si>
  <si>
    <t>890_10</t>
  </si>
  <si>
    <t>Centertown Elementary</t>
  </si>
  <si>
    <t>376 Warrior BLVD</t>
  </si>
  <si>
    <t>McMinnville</t>
  </si>
  <si>
    <t>890_20</t>
  </si>
  <si>
    <t>Dibrell Elementary</t>
  </si>
  <si>
    <t>1759 Mike Muncey RD</t>
  </si>
  <si>
    <t>890_30</t>
  </si>
  <si>
    <t>Eastside Elementary</t>
  </si>
  <si>
    <t>2121 Old Rock Island RD</t>
  </si>
  <si>
    <t>Rock Island</t>
  </si>
  <si>
    <t>890_38</t>
  </si>
  <si>
    <t>Hickory Creek School</t>
  </si>
  <si>
    <t>270 Pioneer LN</t>
  </si>
  <si>
    <t>890_40</t>
  </si>
  <si>
    <t>Irving College Elementary</t>
  </si>
  <si>
    <t>115 Dry Creek RD</t>
  </si>
  <si>
    <t>890_50</t>
  </si>
  <si>
    <t>Morrison Elementary</t>
  </si>
  <si>
    <t>500 S Fair ST</t>
  </si>
  <si>
    <t>Morrison</t>
  </si>
  <si>
    <t>890_63</t>
  </si>
  <si>
    <t>Bobby Ray Memorial</t>
  </si>
  <si>
    <t>504 North Chancery ST</t>
  </si>
  <si>
    <t>890_75</t>
  </si>
  <si>
    <t>Warren County Middle School</t>
  </si>
  <si>
    <t>200 Caldwell ST</t>
  </si>
  <si>
    <t>Warren County High School</t>
  </si>
  <si>
    <t>199 Pioneer LN</t>
  </si>
  <si>
    <t>890_85</t>
  </si>
  <si>
    <t>400 Clark BLVD</t>
  </si>
  <si>
    <t>900_25</t>
  </si>
  <si>
    <t>Boones Creek Elementary</t>
  </si>
  <si>
    <t>348 Boones Creek Christian Church RD</t>
  </si>
  <si>
    <t>Gray</t>
  </si>
  <si>
    <t>900_30</t>
  </si>
  <si>
    <t>Boones Creek Middle School</t>
  </si>
  <si>
    <t>4352 North Roan ST</t>
  </si>
  <si>
    <t>Daniel Boone High School</t>
  </si>
  <si>
    <t>1440 Suncrest DR</t>
  </si>
  <si>
    <t>David Crockett High School</t>
  </si>
  <si>
    <t>684 Old State Route 34</t>
  </si>
  <si>
    <t>Jonesborough</t>
  </si>
  <si>
    <t>900_45</t>
  </si>
  <si>
    <t>Fall Branch Elementary</t>
  </si>
  <si>
    <t>1061 Highway 93</t>
  </si>
  <si>
    <t>Fall Branch</t>
  </si>
  <si>
    <t>900_50</t>
  </si>
  <si>
    <t>Grandview Elementary School</t>
  </si>
  <si>
    <t>2891 Hwy 11E</t>
  </si>
  <si>
    <t>Telford</t>
  </si>
  <si>
    <t>900_55</t>
  </si>
  <si>
    <t>Gray Elementary School</t>
  </si>
  <si>
    <t>755 Gray Station RD</t>
  </si>
  <si>
    <t>900_60</t>
  </si>
  <si>
    <t>Jonesborough Elementary</t>
  </si>
  <si>
    <t>306 Forest DR</t>
  </si>
  <si>
    <t>900_65</t>
  </si>
  <si>
    <t>Jonesborough Middle School</t>
  </si>
  <si>
    <t>308 Forest DR</t>
  </si>
  <si>
    <t>900_75</t>
  </si>
  <si>
    <t>Lamar Elementary</t>
  </si>
  <si>
    <t>3261 Highway 81 South</t>
  </si>
  <si>
    <t>900_80</t>
  </si>
  <si>
    <t>Ridgeview Elementary School</t>
  </si>
  <si>
    <t>252 Sam Jenkins RD</t>
  </si>
  <si>
    <t>900_90</t>
  </si>
  <si>
    <t>South Central Elementary</t>
  </si>
  <si>
    <t>2955 Highway 107</t>
  </si>
  <si>
    <t>900_95</t>
  </si>
  <si>
    <t>Sulphur Springs Elementary</t>
  </si>
  <si>
    <t>1518 Gray Station/sulphur Springs RD</t>
  </si>
  <si>
    <t>University School</t>
  </si>
  <si>
    <t>1 Alexendra DR</t>
  </si>
  <si>
    <t>900_110</t>
  </si>
  <si>
    <t>West View School</t>
  </si>
  <si>
    <t>2847 Old State Rt 34</t>
  </si>
  <si>
    <t>Limestone</t>
  </si>
  <si>
    <t>Tennessee Virtual Learning Academy</t>
  </si>
  <si>
    <t>2002 Indian Ridge RD</t>
  </si>
  <si>
    <t>901_7</t>
  </si>
  <si>
    <t>2100 Cherokee RD</t>
  </si>
  <si>
    <t>901_15</t>
  </si>
  <si>
    <t>Fairmont Elementary</t>
  </si>
  <si>
    <t>1405 Lester Harris RD</t>
  </si>
  <si>
    <t>901_16</t>
  </si>
  <si>
    <t>Indian Trail Intermediate School</t>
  </si>
  <si>
    <t>307 Car Mol DR</t>
  </si>
  <si>
    <t>901_18</t>
  </si>
  <si>
    <t>Lake Ridge Elementary</t>
  </si>
  <si>
    <t>100 Lake Ridge Square</t>
  </si>
  <si>
    <t>901_20</t>
  </si>
  <si>
    <t>2303 Indian Ridge RD</t>
  </si>
  <si>
    <t>901_35</t>
  </si>
  <si>
    <t>Liberty Bell Middle School</t>
  </si>
  <si>
    <t>718 Morningside Dr.</t>
  </si>
  <si>
    <t>901_37</t>
  </si>
  <si>
    <t>907 King Springs RD</t>
  </si>
  <si>
    <t>901_40</t>
  </si>
  <si>
    <t>North Side Elementary</t>
  </si>
  <si>
    <t>1000 N Roan ST</t>
  </si>
  <si>
    <t>Science Hill High School</t>
  </si>
  <si>
    <t>251 Cotty Jones LN</t>
  </si>
  <si>
    <t>901_55</t>
  </si>
  <si>
    <t>1011 Southwest AVE</t>
  </si>
  <si>
    <t>901_65</t>
  </si>
  <si>
    <t>Towne Acres Elementary</t>
  </si>
  <si>
    <t>2310 Larkspur DR</t>
  </si>
  <si>
    <t>910_5</t>
  </si>
  <si>
    <t>Collinwood Elementary</t>
  </si>
  <si>
    <t>450 North Trojan BLVD</t>
  </si>
  <si>
    <t>Collinwood</t>
  </si>
  <si>
    <t>Collinwood High School</t>
  </si>
  <si>
    <t>401 North Trojan BLVD</t>
  </si>
  <si>
    <t>910_15</t>
  </si>
  <si>
    <t>Collinwood Middle School</t>
  </si>
  <si>
    <t>300 4th Avenue North</t>
  </si>
  <si>
    <t>Frank Hughes School</t>
  </si>
  <si>
    <t>444 Main ST, P. O. Box A</t>
  </si>
  <si>
    <t>Clifton</t>
  </si>
  <si>
    <t>Wayne County High School</t>
  </si>
  <si>
    <t>707 S Main ST</t>
  </si>
  <si>
    <t>Waynesboro</t>
  </si>
  <si>
    <t>910_40</t>
  </si>
  <si>
    <t>Waynesboro Elementary</t>
  </si>
  <si>
    <t>115 Helton ST</t>
  </si>
  <si>
    <t>910_45</t>
  </si>
  <si>
    <t>Waynesboro Middle School</t>
  </si>
  <si>
    <t>407 South Main ST</t>
  </si>
  <si>
    <t>920_5</t>
  </si>
  <si>
    <t>Dresden Elementary</t>
  </si>
  <si>
    <t>759 Linden ST, Suite B</t>
  </si>
  <si>
    <t>Dresden</t>
  </si>
  <si>
    <t>920_7</t>
  </si>
  <si>
    <t>Dresden Middle School</t>
  </si>
  <si>
    <t>759 Linden ST, Suite A</t>
  </si>
  <si>
    <t>Dresden High School</t>
  </si>
  <si>
    <t>7150 Highway 22</t>
  </si>
  <si>
    <t>Gleason School</t>
  </si>
  <si>
    <t>92-99 State Championship DR</t>
  </si>
  <si>
    <t>Gleason</t>
  </si>
  <si>
    <t>Greenfield School</t>
  </si>
  <si>
    <t>319 West Main ST</t>
  </si>
  <si>
    <t>Greenfield</t>
  </si>
  <si>
    <t>920_33</t>
  </si>
  <si>
    <t>Martin Primary</t>
  </si>
  <si>
    <t>215 South College ST</t>
  </si>
  <si>
    <t>Martin</t>
  </si>
  <si>
    <t>920_35</t>
  </si>
  <si>
    <t>Martin Elementary</t>
  </si>
  <si>
    <t>300 South College ST</t>
  </si>
  <si>
    <t>Westview High School</t>
  </si>
  <si>
    <t>8161 Highway 45</t>
  </si>
  <si>
    <t>920_45</t>
  </si>
  <si>
    <t>Martin Middle School</t>
  </si>
  <si>
    <t>700 Fowler RD</t>
  </si>
  <si>
    <t>920_60</t>
  </si>
  <si>
    <t>Sharon School</t>
  </si>
  <si>
    <t>254 North Woodlawn DR</t>
  </si>
  <si>
    <t>Sharon</t>
  </si>
  <si>
    <t>930_10</t>
  </si>
  <si>
    <t>Bon De Croft Elementary</t>
  </si>
  <si>
    <t>8095 Crossville HWY</t>
  </si>
  <si>
    <t>Sparta</t>
  </si>
  <si>
    <t>930_15</t>
  </si>
  <si>
    <t>Cassville Elementary</t>
  </si>
  <si>
    <t>261 Will Thompson RD</t>
  </si>
  <si>
    <t>930_20</t>
  </si>
  <si>
    <t>Central View Elementary</t>
  </si>
  <si>
    <t>14484 Old Kentucky RD</t>
  </si>
  <si>
    <t>Walling</t>
  </si>
  <si>
    <t>930_25</t>
  </si>
  <si>
    <t>Doyle Elementary</t>
  </si>
  <si>
    <t>174 West Gooseneck RD</t>
  </si>
  <si>
    <t>Doyle</t>
  </si>
  <si>
    <t>930_35</t>
  </si>
  <si>
    <t>Findlay Elementary</t>
  </si>
  <si>
    <t>576 Hale ST</t>
  </si>
  <si>
    <t>930_37</t>
  </si>
  <si>
    <t>Northfield Elementary School</t>
  </si>
  <si>
    <t>570 South Bunker Hill RD</t>
  </si>
  <si>
    <t>White County High School</t>
  </si>
  <si>
    <t>267 Allen DR</t>
  </si>
  <si>
    <t>930_50</t>
  </si>
  <si>
    <t>White Co Middle School</t>
  </si>
  <si>
    <t>300 Turntable RD</t>
  </si>
  <si>
    <t>930_60</t>
  </si>
  <si>
    <t>Woodland Park Elementary</t>
  </si>
  <si>
    <t>88 Panther DR</t>
  </si>
  <si>
    <t>940_4</t>
  </si>
  <si>
    <t>Allendale Elementary School</t>
  </si>
  <si>
    <t>2100 Prescott Way</t>
  </si>
  <si>
    <t>940_5</t>
  </si>
  <si>
    <t>Bethesda Elementary</t>
  </si>
  <si>
    <t>4907 Bethesda RD</t>
  </si>
  <si>
    <t>Thompson Station</t>
  </si>
  <si>
    <t>Brentwood High School</t>
  </si>
  <si>
    <t>5304 Murray LN</t>
  </si>
  <si>
    <t>Centennial High School</t>
  </si>
  <si>
    <t>5050 Mallory LN</t>
  </si>
  <si>
    <t>Franklin</t>
  </si>
  <si>
    <t>940_20</t>
  </si>
  <si>
    <t>College Grove Elementary</t>
  </si>
  <si>
    <t>6668 Arno-College Grove</t>
  </si>
  <si>
    <t>College Grove</t>
  </si>
  <si>
    <t>940_22</t>
  </si>
  <si>
    <t>Clovercroft Elementary School</t>
  </si>
  <si>
    <t>9336 Clovercroft RD</t>
  </si>
  <si>
    <t>940_23</t>
  </si>
  <si>
    <t>Chapman's Retreat Elementary</t>
  </si>
  <si>
    <t>1000 Secluded LN</t>
  </si>
  <si>
    <t>940_27</t>
  </si>
  <si>
    <t>Edmondson Elementary</t>
  </si>
  <si>
    <t>851 Edmondson PIKE</t>
  </si>
  <si>
    <t>940_28</t>
  </si>
  <si>
    <t>Crockett Elementary</t>
  </si>
  <si>
    <t>9019 Crockett RD</t>
  </si>
  <si>
    <t>940_30</t>
  </si>
  <si>
    <t>2640 Fairview W BLVD</t>
  </si>
  <si>
    <t>Fairview</t>
  </si>
  <si>
    <t>940_33</t>
  </si>
  <si>
    <t>Fairview Middle School</t>
  </si>
  <si>
    <t>7200 Cumberland DR</t>
  </si>
  <si>
    <t>Fairview High School</t>
  </si>
  <si>
    <t>2595 Fairview W BLVD</t>
  </si>
  <si>
    <t>Franklin High School</t>
  </si>
  <si>
    <t>810 Hillsboro RD</t>
  </si>
  <si>
    <t>940_41</t>
  </si>
  <si>
    <t>Fred J Page Middle School</t>
  </si>
  <si>
    <t>6262 Arno RD</t>
  </si>
  <si>
    <t>Fred J Page High School</t>
  </si>
  <si>
    <t>6281 Arno RD</t>
  </si>
  <si>
    <t>940_45</t>
  </si>
  <si>
    <t>Grassland Elementary</t>
  </si>
  <si>
    <t>6803 Manley LN</t>
  </si>
  <si>
    <t>940_46</t>
  </si>
  <si>
    <t>Grassland Middle School</t>
  </si>
  <si>
    <t>2390 Hillsboro RD</t>
  </si>
  <si>
    <t>940_48</t>
  </si>
  <si>
    <t>Heritage Elementary</t>
  </si>
  <si>
    <t>4801 Columbia PIKE</t>
  </si>
  <si>
    <t>940_49</t>
  </si>
  <si>
    <t>4803 Columbia PIKE</t>
  </si>
  <si>
    <t>940_50</t>
  </si>
  <si>
    <t>Hillsboro Elementary/ Middle School</t>
  </si>
  <si>
    <t>5412 Pinewood RD</t>
  </si>
  <si>
    <t>Independence High School</t>
  </si>
  <si>
    <t>1776 Declaration Way</t>
  </si>
  <si>
    <t>Thompson's Station</t>
  </si>
  <si>
    <t>940_54</t>
  </si>
  <si>
    <t>Spring Station Middle School</t>
  </si>
  <si>
    <t>1000 Spring Station DR</t>
  </si>
  <si>
    <t>940_57</t>
  </si>
  <si>
    <t>Hunters Bend Elementary</t>
  </si>
  <si>
    <t>2121 Fieldstone Pkwy</t>
  </si>
  <si>
    <t>940_59</t>
  </si>
  <si>
    <t>Kenrose Elementary</t>
  </si>
  <si>
    <t>1702 Raintree PKWY</t>
  </si>
  <si>
    <t>940_60</t>
  </si>
  <si>
    <t>Lipscomb Elementary</t>
  </si>
  <si>
    <t>8011 Concord RD</t>
  </si>
  <si>
    <t>940_61</t>
  </si>
  <si>
    <t>Longview Elementary School</t>
  </si>
  <si>
    <t>2929 Commonwealth DR</t>
  </si>
  <si>
    <t>Renaissance High School</t>
  </si>
  <si>
    <t>108 Everbright AVE</t>
  </si>
  <si>
    <t>940_64</t>
  </si>
  <si>
    <t>Pearre Creek Elementary School</t>
  </si>
  <si>
    <t>1811 Townsend BLVD</t>
  </si>
  <si>
    <t>940_65</t>
  </si>
  <si>
    <t>Nolensville Elementary</t>
  </si>
  <si>
    <t>2338 Rocky Fork RD</t>
  </si>
  <si>
    <t>Nolensville</t>
  </si>
  <si>
    <t>940_66</t>
  </si>
  <si>
    <t>Nolensville High School</t>
  </si>
  <si>
    <t>1600 Summerlyn DR</t>
  </si>
  <si>
    <t>940_67</t>
  </si>
  <si>
    <t>Brentwood Middle School</t>
  </si>
  <si>
    <t>5324 Murray LN</t>
  </si>
  <si>
    <t>940_68</t>
  </si>
  <si>
    <t>Oak View Elem School</t>
  </si>
  <si>
    <t>2390 Henpeck LN</t>
  </si>
  <si>
    <t>940_71</t>
  </si>
  <si>
    <t>Mill Creek Elementary School</t>
  </si>
  <si>
    <t>100 York TRL</t>
  </si>
  <si>
    <t>940_72</t>
  </si>
  <si>
    <t>Mill Creek Middle School</t>
  </si>
  <si>
    <t>200 York TRL</t>
  </si>
  <si>
    <t>Ravenwood High School</t>
  </si>
  <si>
    <t>1724 Wilson PIKE</t>
  </si>
  <si>
    <t>940_76</t>
  </si>
  <si>
    <t>Scales Elementary</t>
  </si>
  <si>
    <t>6430 Murray LN</t>
  </si>
  <si>
    <t>940_77</t>
  </si>
  <si>
    <t>Sunset Elementary School</t>
  </si>
  <si>
    <t>100 Sunset TRL</t>
  </si>
  <si>
    <t>940_78</t>
  </si>
  <si>
    <t>Sunset Middle School</t>
  </si>
  <si>
    <t>200 Sunset TRL</t>
  </si>
  <si>
    <t>Summit High School</t>
  </si>
  <si>
    <t>2830 Twin Lakes DR</t>
  </si>
  <si>
    <t>940_80</t>
  </si>
  <si>
    <t>Trinity Elementary</t>
  </si>
  <si>
    <t>4410 Murfreesboro RD</t>
  </si>
  <si>
    <t>940_83</t>
  </si>
  <si>
    <t>Walnut Grove Elementary</t>
  </si>
  <si>
    <t>326 Stable RD</t>
  </si>
  <si>
    <t>940_84</t>
  </si>
  <si>
    <t>Woodland Middle School</t>
  </si>
  <si>
    <t>1500 Volunteer Pkwy</t>
  </si>
  <si>
    <t>940_88</t>
  </si>
  <si>
    <t>Westwood Elementary School</t>
  </si>
  <si>
    <t>7200 Tiger TRL</t>
  </si>
  <si>
    <t>940_89</t>
  </si>
  <si>
    <t>Winstead Elementary School</t>
  </si>
  <si>
    <t>4080 Columbia PIKE</t>
  </si>
  <si>
    <t>941_5</t>
  </si>
  <si>
    <t>Johnson Elementary</t>
  </si>
  <si>
    <t>815 Glass LN</t>
  </si>
  <si>
    <t>941_10</t>
  </si>
  <si>
    <t>Franklin Elementary</t>
  </si>
  <si>
    <t>1501 Figuers DR</t>
  </si>
  <si>
    <t>941_21</t>
  </si>
  <si>
    <t>Freedom Intermediate</t>
  </si>
  <si>
    <t>840 Glass LN</t>
  </si>
  <si>
    <t>941_22</t>
  </si>
  <si>
    <t>Freedom Middle School</t>
  </si>
  <si>
    <t>750 Hwy 96 West</t>
  </si>
  <si>
    <t>941_25</t>
  </si>
  <si>
    <t>600 Liberty PIKE</t>
  </si>
  <si>
    <t>941_30</t>
  </si>
  <si>
    <t>Moore Elementary</t>
  </si>
  <si>
    <t>1061 Lewisburg PIKE</t>
  </si>
  <si>
    <t>941_35</t>
  </si>
  <si>
    <t>Poplar Grove K-4</t>
  </si>
  <si>
    <t>2959 Del Rio PIKE</t>
  </si>
  <si>
    <t>941_40</t>
  </si>
  <si>
    <t>Poplar Grove 5-8</t>
  </si>
  <si>
    <t>950_5</t>
  </si>
  <si>
    <t>Carroll Oakland Elementary</t>
  </si>
  <si>
    <t>4664 Hunters Point PIKE</t>
  </si>
  <si>
    <t>Lebanon</t>
  </si>
  <si>
    <t>950_10</t>
  </si>
  <si>
    <t>Gladeville Elementary</t>
  </si>
  <si>
    <t>8840 Stewarts Ferry PIKE</t>
  </si>
  <si>
    <t>Gladeville</t>
  </si>
  <si>
    <t>950_15</t>
  </si>
  <si>
    <t>Springdale Elementary School</t>
  </si>
  <si>
    <t>5675 Central PIKE</t>
  </si>
  <si>
    <t>Mt. Juliet</t>
  </si>
  <si>
    <t>950_20</t>
  </si>
  <si>
    <t>Lakeview Elementary School</t>
  </si>
  <si>
    <t>6211 Saundersville RD</t>
  </si>
  <si>
    <t>Mt Juliet</t>
  </si>
  <si>
    <t>Lebanon High School</t>
  </si>
  <si>
    <t>500 Blue Devil BLVD</t>
  </si>
  <si>
    <t>Mt. Juliet High School</t>
  </si>
  <si>
    <t>1875 Golden Bear Gateway</t>
  </si>
  <si>
    <t>950_32</t>
  </si>
  <si>
    <t>Mt. Juliet Middle School</t>
  </si>
  <si>
    <t>3565 N. Mt Juliet RD</t>
  </si>
  <si>
    <t>950_33</t>
  </si>
  <si>
    <t>West Wilson Middle School</t>
  </si>
  <si>
    <t>935 North Mt. Juliet RD</t>
  </si>
  <si>
    <t>950_35</t>
  </si>
  <si>
    <t>Mt. Juliet Elementary</t>
  </si>
  <si>
    <t>2521 W. Division ST</t>
  </si>
  <si>
    <t>950_46</t>
  </si>
  <si>
    <t>Rutland Elementary</t>
  </si>
  <si>
    <t>1995 South Rutland RD</t>
  </si>
  <si>
    <t>950_50</t>
  </si>
  <si>
    <t>1224 Murfreesboro RD</t>
  </si>
  <si>
    <t>950_52</t>
  </si>
  <si>
    <t>Stoner Creek Elementary</t>
  </si>
  <si>
    <t>1035 North Mt. Juliet RD</t>
  </si>
  <si>
    <t>950_55</t>
  </si>
  <si>
    <t>Tuckers Crossroads Elementary</t>
  </si>
  <si>
    <t>5905 Trousdale Ferry PIKE</t>
  </si>
  <si>
    <t>Watertown High School</t>
  </si>
  <si>
    <t>9360 Sparta PIKE</t>
  </si>
  <si>
    <t>Watertown</t>
  </si>
  <si>
    <t>950_63</t>
  </si>
  <si>
    <t>Watertown Elementary</t>
  </si>
  <si>
    <t>741 West Main ST</t>
  </si>
  <si>
    <t>950_65</t>
  </si>
  <si>
    <t>9315 Lebanon RD</t>
  </si>
  <si>
    <t>Wilson Central High School</t>
  </si>
  <si>
    <t>419 Wildcat Way</t>
  </si>
  <si>
    <t>950_80</t>
  </si>
  <si>
    <t>W A Wright Elementary</t>
  </si>
  <si>
    <t>5017 Market Place</t>
  </si>
  <si>
    <t>Tennessee Virtual On-Line School</t>
  </si>
  <si>
    <t>351 Stumpy LN</t>
  </si>
  <si>
    <t>950_90</t>
  </si>
  <si>
    <t>Elzie D Patton Elementary School</t>
  </si>
  <si>
    <t>1003 Woodridge Place</t>
  </si>
  <si>
    <t>950_95</t>
  </si>
  <si>
    <t>Watertown Middle School</t>
  </si>
  <si>
    <t>515 W. Main ST</t>
  </si>
  <si>
    <t>951_5</t>
  </si>
  <si>
    <t>Byars Dowdy Elementary</t>
  </si>
  <si>
    <t>904 Hickory Ridge RD</t>
  </si>
  <si>
    <t>951_7</t>
  </si>
  <si>
    <t>Coles Ferry Elementary</t>
  </si>
  <si>
    <t>511 Coles Ferry PIKE</t>
  </si>
  <si>
    <t>951_30</t>
  </si>
  <si>
    <t>207 Oakdale DR</t>
  </si>
  <si>
    <t>951_35</t>
  </si>
  <si>
    <t>Walter J. Baird Middle School</t>
  </si>
  <si>
    <t>131 W J B Pride LN</t>
  </si>
  <si>
    <t>951_40</t>
  </si>
  <si>
    <t>Castle Heights Elementary</t>
  </si>
  <si>
    <t>1007 Castle Heights Avenue North</t>
  </si>
  <si>
    <t>951_45</t>
  </si>
  <si>
    <t>Winfree Bryant Middle School</t>
  </si>
  <si>
    <t>1213 Leeville PIKE</t>
  </si>
  <si>
    <t>960_5</t>
  </si>
  <si>
    <t>West Tennessee School For Deaf</t>
  </si>
  <si>
    <t>State Special School</t>
  </si>
  <si>
    <t>100 Berryhill DR</t>
  </si>
  <si>
    <t>Alvin C. York Institute</t>
  </si>
  <si>
    <t>701 North Main P. O. Box 70</t>
  </si>
  <si>
    <t>Tenn School For Blind</t>
  </si>
  <si>
    <t>115 Stewarts Ferry PIKE</t>
  </si>
  <si>
    <t>964_5</t>
  </si>
  <si>
    <t>Tennessee Elementary School For Deaf</t>
  </si>
  <si>
    <t>2725 Island Home BLVD</t>
  </si>
  <si>
    <t>964_8</t>
  </si>
  <si>
    <t>Tennessee Middle School for the Deaf</t>
  </si>
  <si>
    <t>Tennessee High School For Deaf</t>
  </si>
  <si>
    <t>985_5</t>
  </si>
  <si>
    <t>Corning Achievement Elementary</t>
  </si>
  <si>
    <t>1662 Dabbs AVE</t>
  </si>
  <si>
    <t>985_10</t>
  </si>
  <si>
    <t>Westside Achievement Middle School</t>
  </si>
  <si>
    <t>3389 Dawn DR</t>
  </si>
  <si>
    <t>985_15</t>
  </si>
  <si>
    <t>Frayser Achievement Elementary</t>
  </si>
  <si>
    <t>1602 Dellwood AVE</t>
  </si>
  <si>
    <t>985_20</t>
  </si>
  <si>
    <t>Whitney Achievement Elementary School</t>
  </si>
  <si>
    <t>1219 Whitney AVE</t>
  </si>
  <si>
    <t>985_25</t>
  </si>
  <si>
    <t>Georgian Hills Achievement Elementary School</t>
  </si>
  <si>
    <t>3930 Leweir ST</t>
  </si>
  <si>
    <t>GRAD Academy Memphis</t>
  </si>
  <si>
    <t>1880 Prospect ST</t>
  </si>
  <si>
    <t>Pathways in Education - TN</t>
  </si>
  <si>
    <t>3156 North Thomas ST</t>
  </si>
  <si>
    <t>Pathways in Education - Whitehaven</t>
  </si>
  <si>
    <t>4701 Elvis Presley BLVD</t>
  </si>
  <si>
    <t>985_8005</t>
  </si>
  <si>
    <t>Brick Church: A LEAD Public School</t>
  </si>
  <si>
    <t>2835 Brick Church PIKE</t>
  </si>
  <si>
    <t>985_8010</t>
  </si>
  <si>
    <t>Cornerstone Prep - Lester Campus</t>
  </si>
  <si>
    <t>320 Carpenter ST</t>
  </si>
  <si>
    <t>985_8015</t>
  </si>
  <si>
    <t>Humes Preparatory Academy Middle School</t>
  </si>
  <si>
    <t>659 N Manassas ST</t>
  </si>
  <si>
    <t>985_8020</t>
  </si>
  <si>
    <t>KIPP Memphis Preparatory Middle</t>
  </si>
  <si>
    <t>2230 Corry RD</t>
  </si>
  <si>
    <t>985_8024</t>
  </si>
  <si>
    <t>Aspire Middle School</t>
  </si>
  <si>
    <t>680 Hanley ST</t>
  </si>
  <si>
    <t>985_8025</t>
  </si>
  <si>
    <t>Aspire Hanley Elementary</t>
  </si>
  <si>
    <t>985_8040</t>
  </si>
  <si>
    <t>KIPP Memphis Academy Elementary</t>
  </si>
  <si>
    <t>2248 Shannon AVE</t>
  </si>
  <si>
    <t>985_8050</t>
  </si>
  <si>
    <t>Aspire Coleman</t>
  </si>
  <si>
    <t>3210 Raleigh-Millington RD</t>
  </si>
  <si>
    <t>Fairley High School</t>
  </si>
  <si>
    <t>4950 Fairley RD</t>
  </si>
  <si>
    <t>985_8060</t>
  </si>
  <si>
    <t>Promise Academy - Spring Hill</t>
  </si>
  <si>
    <t>3796 Frayser-Raleigh RD</t>
  </si>
  <si>
    <t>Martin Luther King Preparatory High School</t>
  </si>
  <si>
    <t>1530 Dellwood AVE</t>
  </si>
  <si>
    <t>985_8070</t>
  </si>
  <si>
    <t>Lester Prep</t>
  </si>
  <si>
    <t>320 Carpenter</t>
  </si>
  <si>
    <t>985_8075</t>
  </si>
  <si>
    <t>Freedom Preparatory Academy Charter Elementary School</t>
  </si>
  <si>
    <t>778 Parkrose</t>
  </si>
  <si>
    <t>985_8090</t>
  </si>
  <si>
    <t>Neely's Bend: A LEAD Public School</t>
  </si>
  <si>
    <t>1251 Neely's Bend RD</t>
  </si>
  <si>
    <t>985_8095</t>
  </si>
  <si>
    <t>Libertas School</t>
  </si>
  <si>
    <t>3777 Edenburg DR</t>
  </si>
  <si>
    <t>985_8105</t>
  </si>
  <si>
    <t>Wooddale Middle School</t>
  </si>
  <si>
    <t>3467 Castleman ST</t>
  </si>
  <si>
    <t>985_8110</t>
  </si>
  <si>
    <t>KIPP Memphis Preparatory Elementary</t>
  </si>
  <si>
    <t>985_8115</t>
  </si>
  <si>
    <t>Cornerstone Prep Denver Campus</t>
  </si>
  <si>
    <t>1940 Frayser BLVD</t>
  </si>
  <si>
    <t>985_8120</t>
  </si>
  <si>
    <t>Memphis Scholars Florida Kansas</t>
  </si>
  <si>
    <t>90 West Olive ST</t>
  </si>
  <si>
    <t>985_8125</t>
  </si>
  <si>
    <t>Memphis Scholars Caldwell-Guthrie</t>
  </si>
  <si>
    <t>951 Chelsea Ave.</t>
  </si>
  <si>
    <t>985_8130</t>
  </si>
  <si>
    <t>Memphis Scholars Raleigh-Egypt</t>
  </si>
  <si>
    <t>1380 Pennsylvania Avenue</t>
  </si>
  <si>
    <t>985_8135</t>
  </si>
  <si>
    <t>Kirby Middle School</t>
  </si>
  <si>
    <t>6670 E Raines RD</t>
  </si>
  <si>
    <t>Hillcrest High School</t>
  </si>
  <si>
    <t>4184 Graceland DR</t>
  </si>
  <si>
    <t>985_8145</t>
  </si>
  <si>
    <t>Rocketship Partners Community Prep</t>
  </si>
  <si>
    <t>1506 Mary ST</t>
  </si>
  <si>
    <t>986_8005</t>
  </si>
  <si>
    <t>Bluff City High School</t>
  </si>
  <si>
    <t>4100 Ross RD</t>
  </si>
  <si>
    <t>District Name</t>
  </si>
  <si>
    <t>District_Number</t>
  </si>
  <si>
    <t>Department of Children's Services</t>
  </si>
  <si>
    <t>Question 2</t>
  </si>
  <si>
    <t>Largest Average Composite Score:</t>
  </si>
  <si>
    <t>School:</t>
  </si>
  <si>
    <t>Smallest Average Composite Score:</t>
  </si>
  <si>
    <t>Question 3</t>
  </si>
  <si>
    <t>Number of Valid Tests</t>
  </si>
  <si>
    <t>Number Scoring 21 or Over</t>
  </si>
  <si>
    <t>Percent Scoring 21 or Over</t>
  </si>
  <si>
    <t>There are 2 schools, I do not know how to show the next one</t>
  </si>
  <si>
    <t>Row Labels</t>
  </si>
  <si>
    <t>Grand Total</t>
  </si>
  <si>
    <t>Count of SCHOOL_NAME</t>
  </si>
  <si>
    <t>Shelby County has the most schools</t>
  </si>
  <si>
    <t>0-19</t>
  </si>
  <si>
    <t>Below 20</t>
  </si>
  <si>
    <t>20+</t>
  </si>
  <si>
    <t>At least 20</t>
  </si>
  <si>
    <t>Blank Value</t>
  </si>
  <si>
    <t>Blanks</t>
  </si>
  <si>
    <t>It is being considered as Below 20</t>
  </si>
  <si>
    <t>Score Not Available</t>
  </si>
  <si>
    <t>Average of Valid Tests</t>
  </si>
  <si>
    <t>Observation : It is averaging out the scores, if the School Name is same inspite of the different City/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</si>
</sst>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rgb="FF000000"/>
      <name val="Calibri"/>
      <family val="2"/>
      <charset val="1"/>
    </font>
    <font>
      <sz val="10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 applyAlignment="1">
      <alignment horizontal="center" wrapText="1"/>
    </xf>
    <xf numFmtId="164" fontId="0" fillId="0" borderId="5" xfId="0" applyNumberFormat="1" applyBorder="1"/>
    <xf numFmtId="0" fontId="0" fillId="0" borderId="9" xfId="0" applyBorder="1"/>
    <xf numFmtId="164" fontId="0" fillId="0" borderId="7" xfId="0" applyNumberFormat="1" applyBorder="1"/>
    <xf numFmtId="0" fontId="2" fillId="3" borderId="2" xfId="0" applyFont="1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4" fillId="4" borderId="1" xfId="0" applyFont="1" applyFill="1" applyBorder="1"/>
    <xf numFmtId="49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5" borderId="0" xfId="0" applyFill="1"/>
  </cellXfs>
  <cellStyles count="1">
    <cellStyle name="Normal" xfId="0" builtinId="0"/>
  </cellStyles>
  <dxfs count="1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answers!$D$9</c:f>
              <c:strCache>
                <c:ptCount val="1"/>
                <c:pt idx="0">
                  <c:v>Percent Scoring 21 or Over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answers!$A$10:$A$13</c:f>
              <c:strCache>
                <c:ptCount val="4"/>
                <c:pt idx="0">
                  <c:v>Nashville</c:v>
                </c:pt>
                <c:pt idx="1">
                  <c:v>Memphis</c:v>
                </c:pt>
                <c:pt idx="2">
                  <c:v>Knoxville</c:v>
                </c:pt>
                <c:pt idx="3">
                  <c:v>Chattanooga</c:v>
                </c:pt>
              </c:strCache>
            </c:strRef>
          </c:cat>
          <c:val>
            <c:numRef>
              <c:f>answers!$D$10:$D$13</c:f>
              <c:numCache>
                <c:formatCode>0.0%</c:formatCode>
                <c:ptCount val="4"/>
                <c:pt idx="0">
                  <c:v>0.23113916441238352</c:v>
                </c:pt>
                <c:pt idx="1">
                  <c:v>0.18382489334075311</c:v>
                </c:pt>
                <c:pt idx="2">
                  <c:v>0.54565083281924742</c:v>
                </c:pt>
                <c:pt idx="3">
                  <c:v>0.28291316526610644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A-4BE8-AE07-FB101DB3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180415"/>
        <c:axId val="1149164095"/>
      </c:barChart>
      <c:catAx>
        <c:axId val="114918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64095"/>
        <c:crosses val="autoZero"/>
        <c:auto val="1"/>
        <c:lblAlgn val="ctr"/>
        <c:lblOffset val="100"/>
        <c:noMultiLvlLbl val="0"/>
      </c:catAx>
      <c:valAx>
        <c:axId val="114916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18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[Excel_Assessment.xlsx]5_Pivot Table_No._of_Schools!PivotTable2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'5_Pivot Table_No._of_Schools'!$B$3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'5_Pivot Table_No._of_Schools'!$A$4:$A$10</c:f>
              <c:strCache>
                <c:ptCount val="6"/>
                <c:pt idx="0">
                  <c:v>Shelby County</c:v>
                </c:pt>
                <c:pt idx="1">
                  <c:v>Davidson County</c:v>
                </c:pt>
                <c:pt idx="2">
                  <c:v>Hamilton County</c:v>
                </c:pt>
                <c:pt idx="3">
                  <c:v>Knox County</c:v>
                </c:pt>
                <c:pt idx="4">
                  <c:v>Sumner County</c:v>
                </c:pt>
                <c:pt idx="5">
                  <c:v>Rutherford County</c:v>
                </c:pt>
              </c:strCache>
            </c:strRef>
          </c:cat>
          <c:val>
            <c:numRef>
              <c:f>'5_Pivot Table_No._of_Schools'!$B$4:$B$10</c:f>
              <c:numCache>
                <c:formatCode>General</c:formatCode>
                <c:ptCount val="6"/>
                <c:pt idx="0">
                  <c:v>41</c:v>
                </c:pt>
                <c:pt idx="1">
                  <c:v>27</c:v>
                </c:pt>
                <c:pt idx="2">
                  <c:v>22</c:v>
                </c:pt>
                <c:pt idx="3">
                  <c:v>17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6-4459-B5F8-A008AE3C0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823263"/>
        <c:axId val="1243823743"/>
      </c:barChart>
      <c:catAx>
        <c:axId val="124382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823743"/>
        <c:crosses val="autoZero"/>
        <c:auto val="1"/>
        <c:lblAlgn val="ctr"/>
        <c:lblOffset val="100"/>
        <c:noMultiLvlLbl val="0"/>
      </c:catAx>
      <c:valAx>
        <c:axId val="12438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82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92075</xdr:colOff>
      <xdr:row>13</xdr:row>
      <xdr:rowOff>158750</xdr:rowOff>
    </xdr:from>
    <xdr:to>
      <xdr:col>2</xdr:col>
      <xdr:colOff>384175</xdr:colOff>
      <xdr:row>28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23DB18-E036-3D30-404C-4B230979E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3</xdr:row>
      <xdr:rowOff>44450</xdr:rowOff>
    </xdr:from>
    <xdr:to>
      <xdr:col>7</xdr:col>
      <xdr:colOff>438150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C65D4-E44A-E8C5-677A-D1C3B95DF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vi Mehendale" refreshedDate="45927.542204745369" createdVersion="8" refreshedVersion="8" minRefreshableVersion="3" recordCount="367" xr:uid="{F6F6A0D1-27B8-4B7D-BB6C-8636800E644F}">
  <cacheSource type="worksheet">
    <worksheetSource ref="A1:P368" sheet="ACT_school_suppressed"/>
  </cacheSource>
  <cacheFields count="16">
    <cacheField name="School_ID" numFmtId="0">
      <sharedItems/>
    </cacheField>
    <cacheField name="SCHOOL_NAME" numFmtId="0">
      <sharedItems count="359">
        <s v="Anderson County High School"/>
        <s v="Clinton High School"/>
        <s v="Oak Ridge High School"/>
        <s v="Cascade High School"/>
        <s v="Shelbyville Central High School"/>
        <s v="Community High School"/>
        <s v="Big Sandy School"/>
        <s v="Camden Central High School"/>
        <s v="Bledsoe County High School"/>
        <s v="Heritage High School"/>
        <s v="William Blount High School"/>
        <s v="Alcoa High School"/>
        <s v="Maryville High School"/>
        <s v="Bradley Central High School"/>
        <s v="North Cleveland GOAL Academy"/>
        <s v="Walker Valley High School"/>
        <s v="Bradley County Virtual School"/>
        <s v="Cleveland High"/>
        <s v="F.I. Denning Center of Technology and Careers"/>
        <s v="Campbell County Comprehensive High School"/>
        <s v="Jellico High School"/>
        <s v="Cannon County High School"/>
        <s v="Central High School"/>
        <s v="Huntingdon High School"/>
        <s v="McKenzie High School"/>
        <s v="Clarksburg School"/>
        <s v="West Carroll Junior/Senior High School"/>
        <s v="Cloudland High School"/>
        <s v="Hampton High School"/>
        <s v="Happy Valley High School"/>
        <s v="Unaka High School"/>
        <s v="Elizabethton High School"/>
        <s v="Cheatham Co Central"/>
        <s v="Harpeth High School"/>
        <s v="Sycamore High School"/>
        <s v="Chester County High School"/>
        <s v="Cumberland Gap High School"/>
        <s v="Claiborne High School"/>
        <s v="Clay County High School"/>
        <s v="Cocke Co High School"/>
        <s v="Cosby High School"/>
        <s v="Coffee County Central High School"/>
        <s v="Tullahoma High School"/>
        <s v="Crockett County High School"/>
        <s v="Cumberland County High School"/>
        <s v="Stone Memorial High School"/>
        <s v="The Phoenix School"/>
        <s v="MNPS Virtual School"/>
        <s v="Antioch High School"/>
        <s v="Nashville Big Picture High School"/>
        <s v="Cane Ridge High School"/>
        <s v="East Nashville Magnet High School"/>
        <s v="Glencliff High School"/>
        <s v="Harris-Hillman Special Education"/>
        <s v="Hillsboro High"/>
        <s v="Hillwood High"/>
        <s v="Hume - Fogg High"/>
        <s v="Hunters Lane High"/>
        <s v="John Overton High"/>
        <s v="Middle College High"/>
        <s v="Cora Howe School"/>
        <s v="Maplewood High"/>
        <s v="Martin Luther King Jr School"/>
        <s v="McGavock High"/>
        <s v="Nashville School Of The Arts"/>
        <s v="Pearl-Cohn High"/>
        <s v="The Academy at Opry Mills"/>
        <s v="The Academy at Old Cockrill"/>
        <s v="Stratford STEM Magnet School"/>
        <s v="Whites Creek High"/>
        <s v="The Academy at Hickory Hollow"/>
        <s v="Johnson Alternative Learning Center"/>
        <s v="Lead Academy"/>
        <s v="KIPP Nashville Collegiate High School"/>
        <s v="Riverside High School"/>
        <s v="De Kalb County High School"/>
        <s v="Creek Wood High School"/>
        <s v="Dickson County High School"/>
        <s v="Dyer County High School"/>
        <s v="Dyersburg High School"/>
        <s v="Fayette Ware Comprehensive High School"/>
        <s v="Clarkrange High School"/>
        <s v="Franklin Co High School"/>
        <s v="Huntland School"/>
        <s v="Humboldt Junior/Senior High School"/>
        <s v="Milan High School"/>
        <s v="Peabody High School"/>
        <s v="Bradford High School"/>
        <s v="Gibson County High School"/>
        <s v="South Gibson County High School"/>
        <s v="Giles Co High School"/>
        <s v="Richland School"/>
        <s v="Grainger High School"/>
        <s v="Washburn School"/>
        <s v="Grainger Academy"/>
        <s v="Chuckey Doak High School"/>
        <s v="North Greene High School"/>
        <s v="South Greene High School"/>
        <s v="West Greene High School"/>
        <s v="Greeneville High School"/>
        <s v="Grundy County High School"/>
        <s v="Morristown East High"/>
        <s v="Morristown West High"/>
        <s v="Brainerd High School"/>
        <s v="Chatt High Center For Creative Arts"/>
        <s v="Chattanooga School For Arts And Sciences Upper"/>
        <s v="East Hamilton School"/>
        <s v="East Ridge High School"/>
        <s v="Hamilton County Collegiate High at Chattanooga State"/>
        <s v="Hamilton County High School"/>
        <s v="Hixson High School"/>
        <s v="The Howard School"/>
        <s v="Ooltewah High School"/>
        <s v="Lookout Valley Middle / High School"/>
        <s v="Red Bank High School"/>
        <s v="Sale Creek Middle / High School"/>
        <s v="Sequoyah High School"/>
        <s v="Signal Mountain Middle/High School"/>
        <s v="Soddy Daisy High School"/>
        <s v="Tyner Academy"/>
        <s v="Hamilton County Virtual School"/>
        <s v="STEM School Chattanooga"/>
        <s v="Chattanooga Girls Leadership Academy"/>
        <s v="Ivy Academy Inc."/>
        <s v="Hancock High School"/>
        <s v="Middleton High School"/>
        <s v="Hardin County High School"/>
        <s v="Cherokee High School"/>
        <s v="Clinch School"/>
        <s v="Volunteer High School"/>
        <s v="Haywood High School"/>
        <s v="Lexington High School"/>
        <s v="Scotts Hill High School"/>
        <s v="Henry Co High School"/>
        <s v="East Hickman High School"/>
        <s v="Hickman Co Sr High School"/>
        <s v="Houston Co High School"/>
        <s v="Mc Ewen High School"/>
        <s v="Waverly Central High School"/>
        <s v="Jackson County High School"/>
        <s v="Jefferson Co High School"/>
        <s v="Johnson Co High School"/>
        <s v="Austin East High/Magnet"/>
        <s v="Bearden High School"/>
        <s v="Carter High School"/>
        <s v="South Doyle High School"/>
        <s v="Farragut High School"/>
        <s v="Fulton High School"/>
        <s v="Gibbs High School"/>
        <s v="Halls High School"/>
        <s v="Hardin Valley Academy"/>
        <s v="Karns High School"/>
        <s v="Knox Adaptive Education Center"/>
        <s v="Powell High School"/>
        <s v="West High School"/>
        <s v="Dr. Paul L. Kelley Volunteer Academy"/>
        <s v="L N STEM Academy"/>
        <s v="Career Magnet Academy"/>
        <s v="Lake Co High School"/>
        <s v="Ripley High School"/>
        <s v="Lawrence Co High School"/>
        <s v="Loretto High School"/>
        <s v="Summertown High School"/>
        <s v="Lewis Co High School"/>
        <s v="Lincoln County High School"/>
        <s v="Fayetteville High School"/>
        <s v="Greenback School"/>
        <s v="Loudon High School"/>
        <s v="Lenoir City High School"/>
        <s v="McMinn High School"/>
        <s v="Adamsville Junior / Senior High School"/>
        <s v="McNairy Central High School"/>
        <s v="Macon County High School"/>
        <s v="Red Boiling Springs School"/>
        <s v="Liberty Technology Magnet High School"/>
        <s v="Madison Academic Magnet High School"/>
        <s v="North Side High School"/>
        <s v="South Side High School"/>
        <s v="Marion Co High School"/>
        <s v="South Pittsburg High School"/>
        <s v="Whitwell High School"/>
        <s v="Richard Hardy Memorial School"/>
        <s v="Cornersville School"/>
        <s v="Forrest School"/>
        <s v="Marshall Co High School"/>
        <s v="Columbia Central High School"/>
        <s v="Culleoka Unit School"/>
        <s v="Hampshire Unit School"/>
        <s v="Mt Pleasant High School"/>
        <s v="Santa Fe Unit School"/>
        <s v="Spring Hill High School"/>
        <s v="Northfield Academy"/>
        <s v="Meigs County High School"/>
        <s v="Sweetwater High School"/>
        <s v="Tellico Plains High School"/>
        <s v="Kenwood High"/>
        <s v="Montgomery Central High"/>
        <s v="Clarksville High"/>
        <s v="Northeast High"/>
        <s v="Northwest High"/>
        <s v="Rossview High"/>
        <s v="Middle College @ Austin Peay State University"/>
        <s v="West Creek High"/>
        <s v="Moore County High School"/>
        <s v="Coalfield School"/>
        <s v="Oakdale School"/>
        <s v="Sunbright School"/>
        <s v="Obion County Central High School"/>
        <s v="South Fulton Middle / High School"/>
        <s v="Union City High School"/>
        <s v="Livingston Academy"/>
        <s v="Perry County High School"/>
        <s v="Pickett Co High School"/>
        <s v="Copper Basin High School"/>
        <s v="Polk County High School"/>
        <s v="Cookeville High School"/>
        <s v="Monterey High School"/>
        <s v="Upperman High School"/>
        <s v="Rhea County High School"/>
        <s v="Harriman High School"/>
        <s v="Midway High School"/>
        <s v="Oliver Springs High School"/>
        <s v="Roane County High School"/>
        <s v="Midtown Educational Center"/>
        <s v="Rockwood High School"/>
        <s v="East Robertson High School"/>
        <s v="Greenbrier High School"/>
        <s v="Jo Byrns High School"/>
        <s v="Springfield High School"/>
        <s v="White House Heritage High School"/>
        <s v="Robertson Co. Virtual School"/>
        <s v="Blackman High School"/>
        <s v="Central Magnet School"/>
        <s v="Eagleville School"/>
        <s v="Holloway High School"/>
        <s v="Lavergne High School"/>
        <s v="Oakland High School"/>
        <s v="Riverdale High School"/>
        <s v="Smyrna High School"/>
        <s v="Siegel High School"/>
        <s v="Stewarts Creek High School"/>
        <s v="Scott High School"/>
        <s v="Oneida High School"/>
        <s v="Sequatchie Co High School"/>
        <s v="Gatlinburg Pittman High"/>
        <s v="Northview Senior Academy"/>
        <s v="Pigeon Forge High School"/>
        <s v="Gary Hardin Academy"/>
        <s v="Sevier County High School"/>
        <s v="Seymour High School"/>
        <s v="Bolton High"/>
        <s v="Germantown High"/>
        <s v="Southwind High"/>
        <s v="B. T. Washington High"/>
        <s v="Central High"/>
        <s v="Cordova High School"/>
        <s v="Craigmont High"/>
        <s v="Douglass High"/>
        <s v="East High"/>
        <s v="Hamilton High"/>
        <s v="Hollis F. Price Middle College"/>
        <s v="Kingsbury High"/>
        <s v="Kirby High"/>
        <s v="Manassas High"/>
        <s v="Melrose High"/>
        <s v="Mitchell High"/>
        <s v="Oakhaven High"/>
        <s v="Overton High"/>
        <s v="Raleigh-Egypt High"/>
        <s v="Ridgeway High"/>
        <s v="Sheffield High"/>
        <s v="Trezevant High"/>
        <s v="Westwood High"/>
        <s v="White Station High"/>
        <s v="Whitehaven High"/>
        <s v="Wooddale High"/>
        <s v="Northwest Prep Academy"/>
        <s v="Memphis Virtual School"/>
        <s v="DuBois High School of Arts Technology"/>
        <s v="DuBois High of Leadership Public Policy"/>
        <s v="KIPP Memphis Collegiate High School"/>
        <s v="City University School Of Liberal Arts"/>
        <s v="Memphis Academy Of Science Engineering Middle/High"/>
        <s v="Power Center Academy High School"/>
        <s v="Memphis Academy of Health Sciences High School"/>
        <s v="Memphis Business Academy High School"/>
        <s v="Soulsville Charter School"/>
        <s v="Freedom Preparatory Academy"/>
        <s v="Memphis School of Excellence"/>
        <s v="The Excel Center"/>
        <s v="Arlington High"/>
        <s v="Bartlett High School"/>
        <s v="Collierville High School"/>
        <s v="Houston High School"/>
        <s v="Millington Central High School"/>
        <s v="Gordonsville High School"/>
        <s v="Smith County High School"/>
        <s v="Stewart Co High School"/>
        <s v="Sullivan Central High School"/>
        <s v="Sullivan East High School"/>
        <s v="Sullivan North High School"/>
        <s v="Sullivan South High School"/>
        <s v="Tennessee High School"/>
        <s v="Tennessee Online Public School"/>
        <s v="Dobyns - Bennett High School"/>
        <s v="Beech Sr High School"/>
        <s v="Gallatin Senior High School"/>
        <s v="Hendersonville High School"/>
        <s v="Merrol Hyde Magnet School"/>
        <s v="Portland High School"/>
        <s v="E B Wilson"/>
        <s v="Station Camp High School"/>
        <s v="Westmoreland High School"/>
        <s v="White House High School"/>
        <s v="Sumner County Middle College High School"/>
        <s v="Brighton High School"/>
        <s v="Covington High School"/>
        <s v="Munford High School"/>
        <s v="Trousdale Co High School"/>
        <s v="Unicoi Co High School"/>
        <s v="Union County High School"/>
        <s v="Van Buren Co High School"/>
        <s v="Warren County High School"/>
        <s v="Daniel Boone High School"/>
        <s v="David Crockett High School"/>
        <s v="University School"/>
        <s v="Tennessee Virtual Learning Academy"/>
        <s v="Science Hill High School"/>
        <s v="Collinwood High School"/>
        <s v="Frank Hughes School"/>
        <s v="Wayne County High School"/>
        <s v="Dresden High School"/>
        <s v="Gleason School"/>
        <s v="Greenfield School"/>
        <s v="Westview High School"/>
        <s v="White County High School"/>
        <s v="Brentwood High School"/>
        <s v="Centennial High School"/>
        <s v="Fairview High School"/>
        <s v="Franklin High School"/>
        <s v="Fred J Page High School"/>
        <s v="Independence High School"/>
        <s v="Renaissance High School"/>
        <s v="Ravenwood High School"/>
        <s v="Summit High School"/>
        <s v="Lebanon High School"/>
        <s v="Mt. Juliet High School"/>
        <s v="Watertown High School"/>
        <s v="Wilson Central High School"/>
        <s v="Tennessee Virtual On-Line School"/>
        <s v="Alvin C. York Institute"/>
        <s v="Tenn School For Blind"/>
        <s v="Tennessee High School For Deaf"/>
        <s v="GRAD Academy Memphis"/>
        <s v="Pathways in Education - TN"/>
        <s v="Pathways in Education - Whitehaven"/>
        <s v="Fairley High School"/>
        <s v="Martin Luther King Preparatory High School"/>
        <s v="Hillcrest High School"/>
      </sharedItems>
    </cacheField>
    <cacheField name="City" numFmtId="0">
      <sharedItems/>
    </cacheField>
    <cacheField name="DISTRICT_NAME" numFmtId="0">
      <sharedItems count="128">
        <s v="Anderson County"/>
        <s v="Oak Ridge"/>
        <s v="Bedford County"/>
        <s v="Benton County"/>
        <s v="Bledsoe County"/>
        <s v="Blount County"/>
        <s v="Alcoa"/>
        <s v="Maryville"/>
        <s v="Bradley County"/>
        <s v="Cleveland"/>
        <s v="Campbell County"/>
        <s v="Cannon County"/>
        <s v="Hollow Rock - Bruceton"/>
        <s v="Huntingdon Special School District"/>
        <s v="McKenzie"/>
        <s v="South Carroll"/>
        <s v="West Carroll Sp Dist"/>
        <s v="Carter County"/>
        <s v="Elizabethton"/>
        <s v="Cheatham County"/>
        <s v="Chester County"/>
        <s v="Claiborne County"/>
        <s v="Clay County"/>
        <s v="Cocke County"/>
        <s v="Coffee County"/>
        <s v="Tullahoma"/>
        <s v="Crockett County"/>
        <s v="Cumberland County"/>
        <s v="Davidson County"/>
        <s v="Decatur County"/>
        <s v="DeKalb County"/>
        <s v="Dickson County"/>
        <s v="Dyer County"/>
        <s v="Dyersburg"/>
        <s v="Fayette County Public Schools"/>
        <s v="Fentress County"/>
        <s v="Franklin County"/>
        <s v="Humboldt City Schools"/>
        <s v="Milan"/>
        <s v="Trenton"/>
        <s v="Bradford"/>
        <s v="Gibson Co Sp Dist"/>
        <s v="Giles County"/>
        <s v="Grainger County"/>
        <s v="Greene County"/>
        <s v="Greeneville"/>
        <s v="Grundy County"/>
        <s v="Hamblen County"/>
        <s v="Hamilton County"/>
        <s v="Hancock County"/>
        <s v="Hardeman County Schools"/>
        <s v="Hardin County"/>
        <s v="Hawkins County"/>
        <s v="Haywood County"/>
        <s v="Henderson County"/>
        <s v="Henry County"/>
        <s v="Hickman County"/>
        <s v="Houston County"/>
        <s v="Humphreys County"/>
        <s v="Jackson County"/>
        <s v="Jefferson County"/>
        <s v="Johnson County"/>
        <s v="Knox County"/>
        <s v="Lake County"/>
        <s v="Lauderdale County"/>
        <s v="Lawrence County"/>
        <s v="Lewis County"/>
        <s v="Lincoln County"/>
        <s v="Fayetteville"/>
        <s v="Loudon County"/>
        <s v="Lenoir City"/>
        <s v="McMinn County"/>
        <s v="McNairy County"/>
        <s v="Macon County"/>
        <s v="Madison County"/>
        <s v="Marion County"/>
        <s v="Richard City"/>
        <s v="Marshall County"/>
        <s v="Maury County"/>
        <s v="Meigs County"/>
        <s v="Monroe County"/>
        <s v="Montgomery County"/>
        <s v="Moore County"/>
        <s v="Morgan County"/>
        <s v="Obion County"/>
        <s v="Union City"/>
        <s v="Overton County"/>
        <s v="Perry County"/>
        <s v="Pickett County"/>
        <s v="Polk County"/>
        <s v="Putnam County"/>
        <s v="Rhea County"/>
        <s v="Roane County"/>
        <s v="Robertson County"/>
        <s v="Rutherford County"/>
        <s v="Scott County"/>
        <s v="Oneida"/>
        <s v="Sequatchie County"/>
        <s v="Sevier County"/>
        <s v="Shelby County"/>
        <s v="Arlington"/>
        <s v="Bartlett"/>
        <s v="Collierville"/>
        <s v="Germantown"/>
        <s v="Millington Municipal Schools"/>
        <s v="Smith County"/>
        <s v="Stewart County"/>
        <s v="Sullivan County"/>
        <s v="Bristol"/>
        <s v="Kingsport"/>
        <s v="Sumner County"/>
        <s v="Tipton County"/>
        <s v="Trousdale County"/>
        <s v="Unicoi County"/>
        <s v="Union County"/>
        <s v="Van Buren County"/>
        <s v="Warren County"/>
        <s v="Washington County"/>
        <s v="Johnson City"/>
        <s v="Wayne County"/>
        <s v="Weakley County"/>
        <s v="White County"/>
        <s v="Williamson County"/>
        <s v="Wilson County"/>
        <s v="Alvin C York Institute"/>
        <s v="Tennessee School for Blind"/>
        <s v="Tennessee School for the Deaf"/>
        <s v="Achievement School District"/>
      </sharedItems>
    </cacheField>
    <cacheField name="Subgroup" numFmtId="0">
      <sharedItems/>
    </cacheField>
    <cacheField name="Valid Tests" numFmtId="0">
      <sharedItems containsSemiMixedTypes="0" containsString="0" containsNumber="1" containsInteger="1" minValue="0" maxValue="572" count="244">
        <n v="239"/>
        <n v="266"/>
        <n v="277"/>
        <n v="112"/>
        <n v="296"/>
        <n v="102"/>
        <n v="21"/>
        <n v="136"/>
        <n v="124"/>
        <n v="348"/>
        <n v="381"/>
        <n v="157"/>
        <n v="420"/>
        <n v="382"/>
        <n v="27"/>
        <n v="336"/>
        <n v="9"/>
        <n v="314"/>
        <n v="35"/>
        <n v="285"/>
        <n v="68"/>
        <n v="105"/>
        <n v="40"/>
        <n v="73"/>
        <n v="25"/>
        <n v="57"/>
        <n v="92"/>
        <n v="117"/>
        <n v="70"/>
        <n v="184"/>
        <n v="145"/>
        <n v="142"/>
        <n v="169"/>
        <n v="192"/>
        <n v="150"/>
        <n v="62"/>
        <n v="265"/>
        <n v="93"/>
        <n v="397"/>
        <n v="215"/>
        <n v="211"/>
        <n v="199"/>
        <n v="223"/>
        <n v="67"/>
        <n v="18"/>
        <n v="435"/>
        <n v="391"/>
        <n v="159"/>
        <n v="262"/>
        <n v="0"/>
        <n v="233"/>
        <n v="216"/>
        <n v="212"/>
        <n v="325"/>
        <n v="431"/>
        <n v="34"/>
        <n v="6"/>
        <n v="178"/>
        <n v="240"/>
        <n v="370"/>
        <n v="120"/>
        <n v="140"/>
        <n v="45"/>
        <n v="56"/>
        <n v="152"/>
        <n v="139"/>
        <n v="77"/>
        <n v="1"/>
        <n v="47"/>
        <n v="55"/>
        <n v="119"/>
        <n v="174"/>
        <n v="213"/>
        <n v="342"/>
        <n v="260"/>
        <n v="147"/>
        <n v="181"/>
        <n v="54"/>
        <n v="307"/>
        <n v="160"/>
        <n v="85"/>
        <n v="29"/>
        <n v="101"/>
        <n v="177"/>
        <n v="81"/>
        <n v="183"/>
        <n v="39"/>
        <n v="149"/>
        <n v="97"/>
        <n v="114"/>
        <n v="127"/>
        <n v="201"/>
        <n v="332"/>
        <n v="292"/>
        <n v="143"/>
        <n v="167"/>
        <n v="65"/>
        <n v="95"/>
        <n v="86"/>
        <n v="187"/>
        <n v="337"/>
        <n v="51"/>
        <n v="158"/>
        <n v="58"/>
        <n v="154"/>
        <n v="295"/>
        <n v="135"/>
        <n v="3"/>
        <n v="61"/>
        <n v="60"/>
        <n v="176"/>
        <n v="82"/>
        <n v="219"/>
        <n v="252"/>
        <n v="13"/>
        <n v="269"/>
        <n v="202"/>
        <n v="224"/>
        <n v="111"/>
        <n v="107"/>
        <n v="98"/>
        <n v="484"/>
        <n v="155"/>
        <n v="470"/>
        <n v="179"/>
        <n v="427"/>
        <n v="217"/>
        <n v="451"/>
        <n v="283"/>
        <n v="284"/>
        <n v="300"/>
        <n v="63"/>
        <n v="53"/>
        <n v="99"/>
        <n v="278"/>
        <n v="274"/>
        <n v="138"/>
        <n v="170"/>
        <n v="203"/>
        <n v="44"/>
        <n v="206"/>
        <n v="104"/>
        <n v="230"/>
        <n v="108"/>
        <n v="66"/>
        <n v="22"/>
        <n v="128"/>
        <n v="205"/>
        <n v="20"/>
        <n v="48"/>
        <n v="36"/>
        <n v="115"/>
        <n v="204"/>
        <n v="272"/>
        <n v="244"/>
        <n v="322"/>
        <n v="301"/>
        <n v="372"/>
        <n v="334"/>
        <n v="71"/>
        <n v="79"/>
        <n v="43"/>
        <n v="41"/>
        <n v="31"/>
        <n v="191"/>
        <n v="190"/>
        <n v="74"/>
        <n v="49"/>
        <n v="133"/>
        <n v="477"/>
        <n v="175"/>
        <n v="349"/>
        <n v="186"/>
        <n v="33"/>
        <n v="78"/>
        <n v="163"/>
        <n v="259"/>
        <n v="4"/>
        <n v="468"/>
        <n v="194"/>
        <n v="396"/>
        <n v="450"/>
        <n v="393"/>
        <n v="428"/>
        <n v="96"/>
        <n v="153"/>
        <n v="118"/>
        <n v="189"/>
        <n v="50"/>
        <n v="276"/>
        <n v="490"/>
        <n v="324"/>
        <n v="87"/>
        <n v="356"/>
        <n v="503"/>
        <n v="182"/>
        <n v="134"/>
        <n v="280"/>
        <n v="492"/>
        <n v="394"/>
        <n v="11"/>
        <n v="38"/>
        <n v="83"/>
        <n v="52"/>
        <n v="2"/>
        <n v="475"/>
        <n v="543"/>
        <n v="572"/>
        <n v="425"/>
        <n v="146"/>
        <n v="207"/>
        <n v="123"/>
        <n v="506"/>
        <n v="319"/>
        <n v="234"/>
        <n v="390"/>
        <n v="28"/>
        <n v="304"/>
        <n v="193"/>
        <n v="162"/>
        <n v="461"/>
        <n v="317"/>
        <n v="289"/>
        <n v="512"/>
        <n v="72"/>
        <n v="32"/>
        <n v="131"/>
        <n v="255"/>
        <n v="417"/>
        <n v="367"/>
        <n v="438"/>
        <n v="352"/>
        <n v="516"/>
        <n v="326"/>
        <n v="424"/>
        <n v="486"/>
        <n v="110"/>
        <n v="441"/>
        <n v="113"/>
        <n v="10"/>
        <n v="8"/>
        <n v="5"/>
        <n v="90"/>
        <n v="88"/>
      </sharedItems>
    </cacheField>
    <cacheField name="Participation Rate" numFmtId="0">
      <sharedItems containsMixedTypes="1" containsNumber="1" containsInteger="1" minValue="0" maxValue="100"/>
    </cacheField>
    <cacheField name="Average English Score" numFmtId="0">
      <sharedItems containsBlank="1" containsMixedTypes="1" containsNumber="1" minValue="10.7" maxValue="32.200000000000003"/>
    </cacheField>
    <cacheField name="Average Math Score" numFmtId="0">
      <sharedItems containsBlank="1" containsMixedTypes="1" containsNumber="1" minValue="14.9" maxValue="28.4"/>
    </cacheField>
    <cacheField name="Average Reading Score" numFmtId="0">
      <sharedItems containsBlank="1" containsMixedTypes="1" containsNumber="1" minValue="13.4" maxValue="32.200000000000003"/>
    </cacheField>
    <cacheField name="Average Science Score" numFmtId="0">
      <sharedItems containsBlank="1" containsMixedTypes="1" containsNumber="1" minValue="13.8" maxValue="29.7"/>
    </cacheField>
    <cacheField name="Average Composite Score" numFmtId="0">
      <sharedItems containsBlank="1" containsMixedTypes="1" containsNumber="1" minValue="13.6" maxValue="30.7" count="106">
        <n v="19.7"/>
        <n v="19.100000000000001"/>
        <n v="23.3"/>
        <n v="20.9"/>
        <n v="18.899999999999999"/>
        <n v="20"/>
        <n v="19.5"/>
        <n v="20.2"/>
        <n v="19"/>
        <n v="19.8"/>
        <n v="21.3"/>
        <n v="24.3"/>
        <n v="15.1"/>
        <n v="22.1"/>
        <s v="*"/>
        <n v="20.399999999999999"/>
        <n v="15.9"/>
        <n v="18.3"/>
        <n v="18.8"/>
        <n v="21.2"/>
        <n v="19.399999999999999"/>
        <n v="17.3"/>
        <n v="19.600000000000001"/>
        <n v="21.9"/>
        <n v="18.5"/>
        <n v="20.8"/>
        <n v="17.899999999999999"/>
        <n v="22"/>
        <n v="18.7"/>
        <n v="21.4"/>
        <n v="15.3"/>
        <n v="22.2"/>
        <n v="17.7"/>
        <n v="17.399999999999999"/>
        <n v="16.8"/>
        <m/>
        <n v="20.7"/>
        <n v="28.5"/>
        <n v="16.2"/>
        <n v="21.8"/>
        <n v="15.6"/>
        <n v="27.4"/>
        <n v="19.3"/>
        <n v="21.1"/>
        <n v="17.2"/>
        <n v="16"/>
        <n v="15.4"/>
        <n v="22.3"/>
        <n v="19.2"/>
        <n v="20.6"/>
        <n v="18.2"/>
        <n v="14.5"/>
        <n v="14.7"/>
        <n v="24.9"/>
        <n v="23.5"/>
        <n v="25.6"/>
        <n v="16.3"/>
        <n v="16.899999999999999"/>
        <n v="24.7"/>
        <n v="17.600000000000001"/>
        <n v="18.100000000000001"/>
        <n v="17.8"/>
        <n v="18"/>
        <n v="20.5"/>
        <n v="24.6"/>
        <n v="17.100000000000001"/>
        <n v="22.8"/>
        <n v="22.9"/>
        <n v="18.399999999999999"/>
        <n v="21"/>
        <n v="20.100000000000001"/>
        <n v="20.3"/>
        <n v="16.5"/>
        <n v="18.600000000000001"/>
        <n v="19.899999999999999"/>
        <n v="21.6"/>
        <n v="25.9"/>
        <n v="22.5"/>
        <n v="21.7"/>
        <n v="21.5"/>
        <n v="30.7"/>
        <n v="23.4"/>
        <n v="16.600000000000001"/>
        <n v="13.8"/>
        <n v="15.2"/>
        <n v="14.4"/>
        <n v="15"/>
        <n v="14.6"/>
        <n v="14.2"/>
        <n v="15.7"/>
        <n v="23.6"/>
        <n v="14"/>
        <n v="25.2"/>
        <n v="26.5"/>
        <n v="28"/>
        <n v="22.4"/>
        <n v="27.6"/>
        <n v="26.6"/>
        <n v="25.3"/>
        <n v="24.2"/>
        <n v="26.7"/>
        <n v="23.8"/>
        <n v="22.7"/>
        <n v="13.6"/>
        <n v="15.8"/>
        <n v="15.5"/>
      </sharedItems>
    </cacheField>
    <cacheField name="Number Scoring 21 or Higher" numFmtId="0">
      <sharedItems containsMixedTypes="1" containsNumber="1" containsInteger="1" minValue="0" maxValue="462"/>
    </cacheField>
    <cacheField name="Number Scoring Below 19" numFmtId="0">
      <sharedItems containsMixedTypes="1" containsNumber="1" containsInteger="1" minValue="0" maxValue="312"/>
    </cacheField>
    <cacheField name="Average Composite At Least 20" numFmtId="0">
      <sharedItems count="3">
        <s v="Below 20"/>
        <s v="At least 20"/>
        <s v="Score Not Available"/>
      </sharedItems>
    </cacheField>
    <cacheField name="All Areas At Least 20" numFmtId="0">
      <sharedItems count="2">
        <s v="Not all at least 20"/>
        <s v="All at least 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s v="10_2"/>
    <x v="0"/>
    <s v="Clinton"/>
    <x v="0"/>
    <s v="All Students"/>
    <x v="0"/>
    <n v="100"/>
    <n v="19.100000000000001"/>
    <n v="19.2"/>
    <n v="20"/>
    <n v="20.100000000000001"/>
    <x v="0"/>
    <n v="99"/>
    <n v="103"/>
    <x v="0"/>
    <x v="0"/>
  </r>
  <r>
    <s v="10_25"/>
    <x v="1"/>
    <s v="Clinton"/>
    <x v="0"/>
    <s v="All Students"/>
    <x v="1"/>
    <n v="95"/>
    <n v="18.5"/>
    <n v="18.600000000000001"/>
    <n v="19.7"/>
    <n v="19.399999999999999"/>
    <x v="1"/>
    <n v="92"/>
    <n v="146"/>
    <x v="0"/>
    <x v="0"/>
  </r>
  <r>
    <s v="12_35"/>
    <x v="2"/>
    <s v="Oak Ridge"/>
    <x v="1"/>
    <s v="All Students"/>
    <x v="2"/>
    <n v="100"/>
    <n v="23.5"/>
    <n v="22.1"/>
    <n v="24.1"/>
    <n v="22.9"/>
    <x v="2"/>
    <n v="182"/>
    <n v="64"/>
    <x v="1"/>
    <x v="1"/>
  </r>
  <r>
    <s v="20_13"/>
    <x v="3"/>
    <s v="Wartrace"/>
    <x v="2"/>
    <s v="All Students"/>
    <x v="3"/>
    <n v="99"/>
    <n v="20.3"/>
    <n v="19.899999999999999"/>
    <n v="21.9"/>
    <n v="20.9"/>
    <x v="3"/>
    <n v="58"/>
    <n v="35"/>
    <x v="1"/>
    <x v="0"/>
  </r>
  <r>
    <s v="20_20"/>
    <x v="4"/>
    <s v="Shelbyville"/>
    <x v="2"/>
    <s v="All Students"/>
    <x v="4"/>
    <n v="99"/>
    <n v="17.8"/>
    <n v="18.5"/>
    <n v="19.2"/>
    <n v="19.2"/>
    <x v="4"/>
    <n v="89"/>
    <n v="166"/>
    <x v="0"/>
    <x v="0"/>
  </r>
  <r>
    <s v="20_35"/>
    <x v="5"/>
    <s v="Unionville"/>
    <x v="2"/>
    <s v="All Students"/>
    <x v="5"/>
    <n v="99"/>
    <n v="19.5"/>
    <n v="18.5"/>
    <n v="20.7"/>
    <n v="20.6"/>
    <x v="5"/>
    <n v="36"/>
    <n v="40"/>
    <x v="1"/>
    <x v="0"/>
  </r>
  <r>
    <s v="30_10"/>
    <x v="6"/>
    <s v="Big Sandy"/>
    <x v="3"/>
    <s v="All Students"/>
    <x v="6"/>
    <n v="95"/>
    <n v="17.8"/>
    <n v="18.7"/>
    <n v="20.399999999999999"/>
    <n v="20.5"/>
    <x v="6"/>
    <n v="10"/>
    <n v="8"/>
    <x v="0"/>
    <x v="0"/>
  </r>
  <r>
    <s v="30_25"/>
    <x v="7"/>
    <s v="Camden"/>
    <x v="3"/>
    <s v="All Students"/>
    <x v="7"/>
    <n v="95"/>
    <n v="20"/>
    <n v="19.399999999999999"/>
    <n v="20.5"/>
    <n v="20.2"/>
    <x v="7"/>
    <n v="63"/>
    <n v="55"/>
    <x v="1"/>
    <x v="0"/>
  </r>
  <r>
    <s v="40_5"/>
    <x v="8"/>
    <s v="Pikeville"/>
    <x v="4"/>
    <s v="All Students"/>
    <x v="8"/>
    <n v="98"/>
    <n v="17.8"/>
    <n v="19.3"/>
    <n v="19.100000000000001"/>
    <n v="19.3"/>
    <x v="8"/>
    <n v="39"/>
    <n v="62"/>
    <x v="0"/>
    <x v="0"/>
  </r>
  <r>
    <s v="50_63"/>
    <x v="9"/>
    <s v="Maryville"/>
    <x v="5"/>
    <s v="All Students"/>
    <x v="9"/>
    <n v="96"/>
    <n v="18.399999999999999"/>
    <n v="18.7"/>
    <n v="19.100000000000001"/>
    <n v="18.8"/>
    <x v="4"/>
    <n v="115"/>
    <n v="171"/>
    <x v="0"/>
    <x v="0"/>
  </r>
  <r>
    <s v="50_155"/>
    <x v="10"/>
    <s v="Maryville"/>
    <x v="5"/>
    <s v="All Students"/>
    <x v="10"/>
    <n v="98"/>
    <n v="19.5"/>
    <n v="19.399999999999999"/>
    <n v="20.2"/>
    <n v="19.600000000000001"/>
    <x v="9"/>
    <n v="156"/>
    <n v="180"/>
    <x v="0"/>
    <x v="0"/>
  </r>
  <r>
    <s v="51_10"/>
    <x v="11"/>
    <s v="Alcoa"/>
    <x v="6"/>
    <s v="All Students"/>
    <x v="11"/>
    <n v="99"/>
    <n v="21.7"/>
    <n v="20.399999999999999"/>
    <n v="21.7"/>
    <n v="20.8"/>
    <x v="10"/>
    <n v="87"/>
    <n v="51"/>
    <x v="1"/>
    <x v="1"/>
  </r>
  <r>
    <s v="52_15"/>
    <x v="12"/>
    <s v="Maryville"/>
    <x v="7"/>
    <s v="All Students"/>
    <x v="12"/>
    <n v="99"/>
    <n v="24.1"/>
    <n v="23.5"/>
    <n v="24.8"/>
    <n v="24.1"/>
    <x v="11"/>
    <n v="301"/>
    <n v="73"/>
    <x v="1"/>
    <x v="1"/>
  </r>
  <r>
    <s v="60_20"/>
    <x v="13"/>
    <s v="Cleveland"/>
    <x v="8"/>
    <s v="All Students"/>
    <x v="13"/>
    <n v="100"/>
    <n v="18.899999999999999"/>
    <n v="18.5"/>
    <n v="20.100000000000001"/>
    <n v="19.899999999999999"/>
    <x v="6"/>
    <n v="147"/>
    <n v="166"/>
    <x v="0"/>
    <x v="0"/>
  </r>
  <r>
    <s v="60_53"/>
    <x v="14"/>
    <s v="Cleveland"/>
    <x v="8"/>
    <s v="All Students"/>
    <x v="14"/>
    <n v="100"/>
    <n v="13.8"/>
    <n v="16.100000000000001"/>
    <n v="15.2"/>
    <n v="15"/>
    <x v="12"/>
    <s v="**"/>
    <s v="**"/>
    <x v="0"/>
    <x v="0"/>
  </r>
  <r>
    <s v="60_78"/>
    <x v="15"/>
    <s v="Cleveland"/>
    <x v="8"/>
    <s v="All Students"/>
    <x v="15"/>
    <n v="100"/>
    <n v="22.1"/>
    <n v="21"/>
    <n v="22.8"/>
    <n v="21.9"/>
    <x v="13"/>
    <n v="201"/>
    <n v="91"/>
    <x v="1"/>
    <x v="1"/>
  </r>
  <r>
    <s v="60_105"/>
    <x v="16"/>
    <s v="Cleveland"/>
    <x v="8"/>
    <s v="All Students"/>
    <x v="16"/>
    <s v="*"/>
    <s v="*"/>
    <s v="*"/>
    <s v="*"/>
    <s v="*"/>
    <x v="14"/>
    <s v="*"/>
    <s v="*"/>
    <x v="2"/>
    <x v="0"/>
  </r>
  <r>
    <s v="61_20"/>
    <x v="17"/>
    <s v="Cleveland"/>
    <x v="9"/>
    <s v="All Students"/>
    <x v="17"/>
    <n v="96"/>
    <n v="19.600000000000001"/>
    <n v="19.600000000000001"/>
    <n v="21.2"/>
    <n v="20.7"/>
    <x v="15"/>
    <n v="141"/>
    <n v="129"/>
    <x v="1"/>
    <x v="0"/>
  </r>
  <r>
    <s v="61_40"/>
    <x v="18"/>
    <s v="Cleveland"/>
    <x v="9"/>
    <s v="All Students"/>
    <x v="18"/>
    <n v="100"/>
    <n v="14.6"/>
    <n v="17"/>
    <n v="15.2"/>
    <n v="15.9"/>
    <x v="16"/>
    <n v="3"/>
    <n v="29"/>
    <x v="0"/>
    <x v="0"/>
  </r>
  <r>
    <s v="70_3"/>
    <x v="19"/>
    <s v="Jacksboro"/>
    <x v="10"/>
    <s v="All Students"/>
    <x v="19"/>
    <n v="92"/>
    <n v="17.5"/>
    <n v="17.3"/>
    <n v="19.3"/>
    <n v="18.600000000000001"/>
    <x v="17"/>
    <n v="78"/>
    <n v="160"/>
    <x v="0"/>
    <x v="0"/>
  </r>
  <r>
    <s v="70_75"/>
    <x v="20"/>
    <s v="Jellico"/>
    <x v="10"/>
    <s v="All Students"/>
    <x v="20"/>
    <n v="97"/>
    <n v="18.5"/>
    <n v="17.7"/>
    <n v="19.3"/>
    <n v="18.899999999999999"/>
    <x v="18"/>
    <n v="20"/>
    <n v="36"/>
    <x v="0"/>
    <x v="0"/>
  </r>
  <r>
    <s v="80_16"/>
    <x v="21"/>
    <s v="Woodbury"/>
    <x v="11"/>
    <s v="All Students"/>
    <x v="21"/>
    <n v="99"/>
    <n v="18.5"/>
    <n v="18.100000000000001"/>
    <n v="19.3"/>
    <n v="19.2"/>
    <x v="4"/>
    <n v="38"/>
    <n v="52"/>
    <x v="0"/>
    <x v="0"/>
  </r>
  <r>
    <s v="92_10"/>
    <x v="22"/>
    <s v="Bruceton"/>
    <x v="12"/>
    <s v="All Students"/>
    <x v="22"/>
    <n v="100"/>
    <n v="18.399999999999999"/>
    <n v="18.600000000000001"/>
    <n v="18.899999999999999"/>
    <n v="19.100000000000001"/>
    <x v="4"/>
    <n v="15"/>
    <n v="18"/>
    <x v="0"/>
    <x v="0"/>
  </r>
  <r>
    <s v="93_10"/>
    <x v="23"/>
    <s v="Huntingdon"/>
    <x v="13"/>
    <s v="All Students"/>
    <x v="23"/>
    <n v="100"/>
    <n v="19.399999999999999"/>
    <n v="18.8"/>
    <n v="20.2"/>
    <n v="20"/>
    <x v="9"/>
    <n v="30"/>
    <n v="34"/>
    <x v="0"/>
    <x v="0"/>
  </r>
  <r>
    <s v="94_10"/>
    <x v="24"/>
    <s v="McKenzie"/>
    <x v="14"/>
    <s v="All Students"/>
    <x v="21"/>
    <n v="98"/>
    <n v="20.7"/>
    <n v="19.8"/>
    <n v="22"/>
    <n v="21.8"/>
    <x v="19"/>
    <n v="56"/>
    <n v="36"/>
    <x v="1"/>
    <x v="0"/>
  </r>
  <r>
    <s v="95_5"/>
    <x v="25"/>
    <s v="Clarksburg"/>
    <x v="15"/>
    <s v="All Students"/>
    <x v="24"/>
    <n v="100"/>
    <n v="18.5"/>
    <n v="19"/>
    <n v="19.5"/>
    <n v="20.100000000000001"/>
    <x v="20"/>
    <n v="11"/>
    <n v="12"/>
    <x v="0"/>
    <x v="0"/>
  </r>
  <r>
    <s v="97_5"/>
    <x v="26"/>
    <s v="Atwood"/>
    <x v="16"/>
    <s v="All Students"/>
    <x v="25"/>
    <n v="100"/>
    <n v="19.3"/>
    <n v="18.3"/>
    <n v="19.899999999999999"/>
    <n v="19.7"/>
    <x v="20"/>
    <n v="23"/>
    <n v="25"/>
    <x v="0"/>
    <x v="0"/>
  </r>
  <r>
    <s v="100_15"/>
    <x v="27"/>
    <s v="Roan Mountain"/>
    <x v="17"/>
    <s v="All Students"/>
    <x v="22"/>
    <n v="98"/>
    <n v="16"/>
    <n v="17.2"/>
    <n v="17.2"/>
    <n v="18.100000000000001"/>
    <x v="21"/>
    <n v="8"/>
    <n v="25"/>
    <x v="0"/>
    <x v="0"/>
  </r>
  <r>
    <s v="100_30"/>
    <x v="28"/>
    <s v="Hampton"/>
    <x v="17"/>
    <s v="All Students"/>
    <x v="26"/>
    <n v="88"/>
    <n v="18.600000000000001"/>
    <n v="18.100000000000001"/>
    <n v="20.399999999999999"/>
    <n v="20"/>
    <x v="1"/>
    <n v="28"/>
    <n v="41"/>
    <x v="0"/>
    <x v="0"/>
  </r>
  <r>
    <s v="100_40"/>
    <x v="29"/>
    <s v="Elizabethton"/>
    <x v="17"/>
    <s v="All Students"/>
    <x v="27"/>
    <n v="82"/>
    <n v="19.3"/>
    <n v="18.2"/>
    <n v="20.3"/>
    <n v="19.8"/>
    <x v="22"/>
    <n v="40"/>
    <n v="48"/>
    <x v="0"/>
    <x v="0"/>
  </r>
  <r>
    <s v="100_90"/>
    <x v="30"/>
    <s v="Elizabethton"/>
    <x v="17"/>
    <s v="All Students"/>
    <x v="28"/>
    <n v="93"/>
    <n v="19.8"/>
    <n v="18.5"/>
    <n v="20.5"/>
    <n v="19.5"/>
    <x v="9"/>
    <n v="27"/>
    <n v="27"/>
    <x v="0"/>
    <x v="0"/>
  </r>
  <r>
    <s v="101_15"/>
    <x v="31"/>
    <s v="Elizabethton"/>
    <x v="18"/>
    <s v="All Students"/>
    <x v="29"/>
    <n v="99"/>
    <n v="21.6"/>
    <n v="20.9"/>
    <n v="22.7"/>
    <n v="21.9"/>
    <x v="23"/>
    <n v="105"/>
    <n v="44"/>
    <x v="1"/>
    <x v="1"/>
  </r>
  <r>
    <s v="110_10"/>
    <x v="32"/>
    <s v="Ashland City"/>
    <x v="19"/>
    <s v="All Students"/>
    <x v="30"/>
    <n v="98"/>
    <n v="17.600000000000001"/>
    <n v="17.7"/>
    <n v="19.100000000000001"/>
    <n v="18.8"/>
    <x v="24"/>
    <n v="37"/>
    <n v="83"/>
    <x v="0"/>
    <x v="0"/>
  </r>
  <r>
    <s v="110_19"/>
    <x v="33"/>
    <s v="Kingston Springs"/>
    <x v="19"/>
    <s v="All Students"/>
    <x v="31"/>
    <n v="99"/>
    <n v="20"/>
    <n v="19.5"/>
    <n v="21.9"/>
    <n v="21.2"/>
    <x v="25"/>
    <n v="67"/>
    <n v="52"/>
    <x v="1"/>
    <x v="0"/>
  </r>
  <r>
    <s v="110_33"/>
    <x v="34"/>
    <s v="Pleasant View"/>
    <x v="19"/>
    <s v="All Students"/>
    <x v="32"/>
    <n v="99"/>
    <n v="19"/>
    <n v="18.600000000000001"/>
    <n v="20.6"/>
    <n v="20.2"/>
    <x v="0"/>
    <n v="69"/>
    <n v="70"/>
    <x v="0"/>
    <x v="0"/>
  </r>
  <r>
    <s v="120_8"/>
    <x v="35"/>
    <s v="Henderson"/>
    <x v="20"/>
    <s v="All Students"/>
    <x v="33"/>
    <n v="98"/>
    <n v="20.5"/>
    <n v="19.399999999999999"/>
    <n v="20.2"/>
    <n v="20"/>
    <x v="7"/>
    <n v="86"/>
    <n v="79"/>
    <x v="1"/>
    <x v="0"/>
  </r>
  <r>
    <s v="130_93"/>
    <x v="36"/>
    <s v="Cumberland Gap"/>
    <x v="21"/>
    <s v="All Students"/>
    <x v="3"/>
    <n v="99"/>
    <n v="19.5"/>
    <n v="19.399999999999999"/>
    <n v="20.3"/>
    <n v="19.899999999999999"/>
    <x v="5"/>
    <n v="45"/>
    <n v="43"/>
    <x v="1"/>
    <x v="0"/>
  </r>
  <r>
    <s v="130_110"/>
    <x v="37"/>
    <s v="New Tazewell"/>
    <x v="21"/>
    <s v="All Students"/>
    <x v="34"/>
    <n v="99"/>
    <n v="17.8"/>
    <n v="18.3"/>
    <n v="19.2"/>
    <n v="19.399999999999999"/>
    <x v="18"/>
    <n v="50"/>
    <n v="79"/>
    <x v="0"/>
    <x v="0"/>
  </r>
  <r>
    <s v="140_12"/>
    <x v="38"/>
    <s v="Celina"/>
    <x v="22"/>
    <s v="All Students"/>
    <x v="35"/>
    <n v="97"/>
    <n v="18.2"/>
    <n v="19.100000000000001"/>
    <n v="17.899999999999999"/>
    <n v="18.600000000000001"/>
    <x v="24"/>
    <n v="19"/>
    <n v="32"/>
    <x v="0"/>
    <x v="0"/>
  </r>
  <r>
    <s v="150_15"/>
    <x v="39"/>
    <s v="Newport"/>
    <x v="23"/>
    <s v="All Students"/>
    <x v="36"/>
    <n v="98"/>
    <n v="17.8"/>
    <n v="18.5"/>
    <n v="19.5"/>
    <n v="19.100000000000001"/>
    <x v="4"/>
    <n v="92"/>
    <n v="140"/>
    <x v="0"/>
    <x v="0"/>
  </r>
  <r>
    <s v="150_27"/>
    <x v="40"/>
    <s v="Cosby"/>
    <x v="23"/>
    <s v="All Students"/>
    <x v="37"/>
    <n v="95"/>
    <n v="16.8"/>
    <n v="17.600000000000001"/>
    <n v="18.600000000000001"/>
    <n v="18.3"/>
    <x v="26"/>
    <n v="24"/>
    <n v="56"/>
    <x v="0"/>
    <x v="0"/>
  </r>
  <r>
    <s v="160_5"/>
    <x v="41"/>
    <s v="Manchester"/>
    <x v="24"/>
    <s v="All Students"/>
    <x v="38"/>
    <n v="97"/>
    <n v="19"/>
    <n v="18.899999999999999"/>
    <n v="19.600000000000001"/>
    <n v="19.5"/>
    <x v="20"/>
    <n v="157"/>
    <n v="193"/>
    <x v="0"/>
    <x v="0"/>
  </r>
  <r>
    <s v="162_35"/>
    <x v="42"/>
    <s v="Tullahoma"/>
    <x v="25"/>
    <s v="All Students"/>
    <x v="39"/>
    <n v="95"/>
    <n v="21.6"/>
    <n v="21.3"/>
    <n v="22.5"/>
    <n v="21.9"/>
    <x v="27"/>
    <n v="120"/>
    <n v="62"/>
    <x v="1"/>
    <x v="1"/>
  </r>
  <r>
    <s v="170_3"/>
    <x v="43"/>
    <s v="Alamo"/>
    <x v="26"/>
    <s v="All Students"/>
    <x v="40"/>
    <n v="100"/>
    <n v="18"/>
    <n v="18.100000000000001"/>
    <n v="19.100000000000001"/>
    <n v="18.8"/>
    <x v="28"/>
    <n v="62"/>
    <n v="111"/>
    <x v="0"/>
    <x v="0"/>
  </r>
  <r>
    <s v="180_25"/>
    <x v="44"/>
    <s v="Crossville"/>
    <x v="27"/>
    <s v="All Students"/>
    <x v="41"/>
    <n v="99"/>
    <n v="20"/>
    <n v="19.7"/>
    <n v="20.9"/>
    <n v="20.3"/>
    <x v="15"/>
    <n v="87"/>
    <n v="74"/>
    <x v="1"/>
    <x v="0"/>
  </r>
  <r>
    <s v="180_79"/>
    <x v="45"/>
    <s v="Crossville"/>
    <x v="27"/>
    <s v="All Students"/>
    <x v="42"/>
    <n v="97"/>
    <n v="20.9"/>
    <n v="20.8"/>
    <n v="21.8"/>
    <n v="21.4"/>
    <x v="29"/>
    <n v="123"/>
    <n v="68"/>
    <x v="1"/>
    <x v="1"/>
  </r>
  <r>
    <s v="180_85"/>
    <x v="46"/>
    <s v="Crossville"/>
    <x v="27"/>
    <s v="All Students"/>
    <x v="43"/>
    <n v="93"/>
    <n v="14"/>
    <n v="16"/>
    <n v="15.5"/>
    <n v="15.2"/>
    <x v="30"/>
    <s v="**"/>
    <s v="**"/>
    <x v="0"/>
    <x v="0"/>
  </r>
  <r>
    <s v="190_3"/>
    <x v="47"/>
    <s v="Nashville"/>
    <x v="28"/>
    <s v="All Students"/>
    <x v="44"/>
    <n v="95"/>
    <n v="22.7"/>
    <n v="20.9"/>
    <n v="22.4"/>
    <n v="22.1"/>
    <x v="31"/>
    <n v="10"/>
    <n v="5"/>
    <x v="1"/>
    <x v="1"/>
  </r>
  <r>
    <s v="190_20"/>
    <x v="48"/>
    <s v="Antioch"/>
    <x v="28"/>
    <s v="All Students"/>
    <x v="45"/>
    <n v="96"/>
    <n v="16.5"/>
    <n v="17.600000000000001"/>
    <n v="18.100000000000001"/>
    <n v="18"/>
    <x v="32"/>
    <n v="94"/>
    <n v="276"/>
    <x v="0"/>
    <x v="0"/>
  </r>
  <r>
    <s v="190_53"/>
    <x v="49"/>
    <s v="Nashville"/>
    <x v="28"/>
    <s v="All Students"/>
    <x v="24"/>
    <n v="100"/>
    <n v="20.100000000000001"/>
    <n v="17.3"/>
    <n v="20.399999999999999"/>
    <n v="20"/>
    <x v="22"/>
    <n v="7"/>
    <n v="12"/>
    <x v="0"/>
    <x v="0"/>
  </r>
  <r>
    <s v="190_77"/>
    <x v="50"/>
    <s v="Antioch"/>
    <x v="28"/>
    <s v="All Students"/>
    <x v="46"/>
    <n v="96"/>
    <n v="16.3"/>
    <n v="17.3"/>
    <n v="17.600000000000001"/>
    <n v="17.7"/>
    <x v="33"/>
    <n v="79"/>
    <n v="266"/>
    <x v="0"/>
    <x v="0"/>
  </r>
  <r>
    <s v="190_203"/>
    <x v="51"/>
    <s v="Nashville"/>
    <x v="28"/>
    <s v="All Students"/>
    <x v="47"/>
    <n v="99"/>
    <n v="17.5"/>
    <n v="17.8"/>
    <n v="18.8"/>
    <n v="18.399999999999999"/>
    <x v="17"/>
    <n v="33"/>
    <n v="93"/>
    <x v="0"/>
    <x v="0"/>
  </r>
  <r>
    <s v="190_245"/>
    <x v="52"/>
    <s v="Nashville"/>
    <x v="28"/>
    <s v="All Students"/>
    <x v="48"/>
    <n v="97"/>
    <n v="15.5"/>
    <n v="16.8"/>
    <n v="17.3"/>
    <n v="17.3"/>
    <x v="34"/>
    <n v="45"/>
    <n v="179"/>
    <x v="0"/>
    <x v="0"/>
  </r>
  <r>
    <s v="190_302"/>
    <x v="53"/>
    <s v="Nashville"/>
    <x v="28"/>
    <s v="All Students"/>
    <x v="49"/>
    <n v="0"/>
    <m/>
    <m/>
    <m/>
    <m/>
    <x v="35"/>
    <n v="0"/>
    <n v="0"/>
    <x v="0"/>
    <x v="0"/>
  </r>
  <r>
    <s v="190_335"/>
    <x v="54"/>
    <s v="Nashville"/>
    <x v="28"/>
    <s v="All Students"/>
    <x v="50"/>
    <n v="97"/>
    <n v="20.6"/>
    <n v="19.2"/>
    <n v="21.9"/>
    <n v="20.5"/>
    <x v="36"/>
    <n v="99"/>
    <n v="89"/>
    <x v="1"/>
    <x v="0"/>
  </r>
  <r>
    <s v="190_340"/>
    <x v="55"/>
    <s v="Nashville"/>
    <x v="28"/>
    <s v="All Students"/>
    <x v="51"/>
    <n v="100"/>
    <n v="19.100000000000001"/>
    <n v="19"/>
    <n v="20.3"/>
    <n v="19.7"/>
    <x v="0"/>
    <n v="88"/>
    <n v="93"/>
    <x v="0"/>
    <x v="0"/>
  </r>
  <r>
    <s v="190_355"/>
    <x v="56"/>
    <s v="Nashville"/>
    <x v="28"/>
    <s v="All Students"/>
    <x v="52"/>
    <n v="100"/>
    <n v="28.9"/>
    <n v="26.6"/>
    <n v="29.6"/>
    <n v="27.9"/>
    <x v="37"/>
    <s v="**"/>
    <s v="**"/>
    <x v="1"/>
    <x v="1"/>
  </r>
  <r>
    <s v="190_358"/>
    <x v="57"/>
    <s v="Nashville"/>
    <x v="28"/>
    <s v="All Students"/>
    <x v="53"/>
    <n v="86"/>
    <n v="15.1"/>
    <n v="16.3"/>
    <n v="16.600000000000001"/>
    <n v="16.3"/>
    <x v="38"/>
    <n v="43"/>
    <n v="250"/>
    <x v="0"/>
    <x v="0"/>
  </r>
  <r>
    <s v="190_395"/>
    <x v="58"/>
    <s v="Nashville"/>
    <x v="28"/>
    <s v="All Students"/>
    <x v="54"/>
    <n v="96"/>
    <n v="17.399999999999999"/>
    <n v="17.899999999999999"/>
    <n v="18.7"/>
    <n v="18.5"/>
    <x v="17"/>
    <n v="120"/>
    <n v="255"/>
    <x v="0"/>
    <x v="0"/>
  </r>
  <r>
    <s v="190_437"/>
    <x v="59"/>
    <s v="Nashville"/>
    <x v="28"/>
    <s v="All Students"/>
    <x v="55"/>
    <n v="92"/>
    <n v="21.7"/>
    <n v="20.2"/>
    <n v="23"/>
    <n v="21.5"/>
    <x v="39"/>
    <n v="18"/>
    <n v="9"/>
    <x v="1"/>
    <x v="1"/>
  </r>
  <r>
    <s v="190_443"/>
    <x v="60"/>
    <s v="Nashville"/>
    <x v="28"/>
    <s v="All Students"/>
    <x v="56"/>
    <s v="*"/>
    <s v="*"/>
    <s v="*"/>
    <s v="*"/>
    <s v="*"/>
    <x v="14"/>
    <s v="*"/>
    <s v="*"/>
    <x v="2"/>
    <x v="0"/>
  </r>
  <r>
    <s v="190_445"/>
    <x v="61"/>
    <s v="Nashville"/>
    <x v="28"/>
    <s v="All Students"/>
    <x v="57"/>
    <n v="98"/>
    <n v="14.3"/>
    <n v="16"/>
    <n v="15.5"/>
    <n v="15.9"/>
    <x v="40"/>
    <n v="15"/>
    <n v="151"/>
    <x v="0"/>
    <x v="0"/>
  </r>
  <r>
    <s v="190_456"/>
    <x v="62"/>
    <s v="Nashville"/>
    <x v="28"/>
    <s v="All Students"/>
    <x v="58"/>
    <n v="100"/>
    <n v="27.6"/>
    <n v="26.8"/>
    <n v="28.1"/>
    <n v="26.6"/>
    <x v="41"/>
    <s v="**"/>
    <s v="**"/>
    <x v="1"/>
    <x v="1"/>
  </r>
  <r>
    <s v="190_470"/>
    <x v="63"/>
    <s v="Nashville"/>
    <x v="28"/>
    <s v="All Students"/>
    <x v="59"/>
    <n v="89"/>
    <n v="18.7"/>
    <n v="18.100000000000001"/>
    <n v="20.399999999999999"/>
    <n v="19.5"/>
    <x v="42"/>
    <n v="133"/>
    <n v="183"/>
    <x v="0"/>
    <x v="0"/>
  </r>
  <r>
    <s v="190_512"/>
    <x v="64"/>
    <s v="Nashville"/>
    <x v="28"/>
    <s v="All Students"/>
    <x v="60"/>
    <n v="96"/>
    <n v="22.1"/>
    <n v="18.899999999999999"/>
    <n v="22.4"/>
    <n v="20.7"/>
    <x v="43"/>
    <n v="59"/>
    <n v="33"/>
    <x v="1"/>
    <x v="0"/>
  </r>
  <r>
    <s v="190_555"/>
    <x v="65"/>
    <s v="Nashville"/>
    <x v="28"/>
    <s v="All Students"/>
    <x v="61"/>
    <n v="99"/>
    <n v="14.3"/>
    <n v="15.9"/>
    <n v="15.6"/>
    <n v="16.100000000000001"/>
    <x v="40"/>
    <n v="10"/>
    <n v="121"/>
    <x v="0"/>
    <x v="0"/>
  </r>
  <r>
    <s v="190_612"/>
    <x v="66"/>
    <s v="Nashville"/>
    <x v="28"/>
    <s v="All Students"/>
    <x v="62"/>
    <n v="88"/>
    <n v="16.5"/>
    <n v="17.2"/>
    <n v="17.3"/>
    <n v="17.5"/>
    <x v="44"/>
    <n v="9"/>
    <n v="32"/>
    <x v="0"/>
    <x v="0"/>
  </r>
  <r>
    <s v="190_614"/>
    <x v="67"/>
    <s v="Nashville"/>
    <x v="28"/>
    <s v="All Students"/>
    <x v="63"/>
    <n v="79"/>
    <n v="16.600000000000001"/>
    <n v="17.2"/>
    <n v="18.3"/>
    <n v="17.600000000000001"/>
    <x v="33"/>
    <n v="15"/>
    <n v="36"/>
    <x v="0"/>
    <x v="0"/>
  </r>
  <r>
    <s v="190_620"/>
    <x v="68"/>
    <s v="Nashville"/>
    <x v="28"/>
    <s v="All Students"/>
    <x v="64"/>
    <n v="91"/>
    <n v="15.1"/>
    <n v="16.2"/>
    <n v="16.600000000000001"/>
    <n v="16.8"/>
    <x v="38"/>
    <n v="16"/>
    <n v="112"/>
    <x v="0"/>
    <x v="0"/>
  </r>
  <r>
    <s v="190_704"/>
    <x v="69"/>
    <s v="Whites Creek"/>
    <x v="28"/>
    <s v="All Students"/>
    <x v="65"/>
    <n v="97"/>
    <n v="14.7"/>
    <n v="16.100000000000001"/>
    <n v="16.100000000000001"/>
    <n v="16.600000000000001"/>
    <x v="45"/>
    <n v="13"/>
    <n v="109"/>
    <x v="0"/>
    <x v="0"/>
  </r>
  <r>
    <s v="190_720"/>
    <x v="70"/>
    <s v="Antioch"/>
    <x v="28"/>
    <s v="All Students"/>
    <x v="66"/>
    <n v="85"/>
    <n v="14.2"/>
    <n v="15.9"/>
    <n v="15.4"/>
    <n v="15.3"/>
    <x v="46"/>
    <n v="7"/>
    <n v="64"/>
    <x v="0"/>
    <x v="0"/>
  </r>
  <r>
    <s v="190_740"/>
    <x v="71"/>
    <s v="Nashville"/>
    <x v="28"/>
    <s v="All Students"/>
    <x v="67"/>
    <s v="*"/>
    <s v="*"/>
    <s v="*"/>
    <s v="*"/>
    <s v="*"/>
    <x v="14"/>
    <s v="*"/>
    <s v="*"/>
    <x v="2"/>
    <x v="0"/>
  </r>
  <r>
    <s v="190_8003"/>
    <x v="72"/>
    <s v="Nashville"/>
    <x v="28"/>
    <s v="All Students"/>
    <x v="68"/>
    <n v="100"/>
    <n v="18.3"/>
    <n v="17.899999999999999"/>
    <n v="18.600000000000001"/>
    <n v="19.7"/>
    <x v="28"/>
    <n v="14"/>
    <n v="25"/>
    <x v="0"/>
    <x v="0"/>
  </r>
  <r>
    <s v="190_8011"/>
    <x v="73"/>
    <s v="Nashville"/>
    <x v="28"/>
    <s v="All Students"/>
    <x v="69"/>
    <n v="100"/>
    <n v="22.5"/>
    <n v="23.1"/>
    <n v="22.3"/>
    <n v="20.7"/>
    <x v="47"/>
    <n v="35"/>
    <n v="11"/>
    <x v="1"/>
    <x v="1"/>
  </r>
  <r>
    <s v="200_3"/>
    <x v="74"/>
    <s v="Decaturville"/>
    <x v="29"/>
    <s v="All Students"/>
    <x v="70"/>
    <n v="98"/>
    <n v="19"/>
    <n v="17.5"/>
    <n v="20.399999999999999"/>
    <n v="19.3"/>
    <x v="48"/>
    <n v="35"/>
    <n v="62"/>
    <x v="0"/>
    <x v="0"/>
  </r>
  <r>
    <s v="210_25"/>
    <x v="75"/>
    <s v="Smithville"/>
    <x v="30"/>
    <s v="All Students"/>
    <x v="71"/>
    <n v="97"/>
    <n v="18"/>
    <n v="18.100000000000001"/>
    <n v="19.2"/>
    <n v="19.399999999999999"/>
    <x v="18"/>
    <n v="65"/>
    <n v="85"/>
    <x v="0"/>
    <x v="0"/>
  </r>
  <r>
    <s v="220_17"/>
    <x v="76"/>
    <s v="Charlotte"/>
    <x v="31"/>
    <s v="All Students"/>
    <x v="72"/>
    <n v="99"/>
    <n v="18.600000000000001"/>
    <n v="18.399999999999999"/>
    <n v="20"/>
    <n v="20.2"/>
    <x v="20"/>
    <n v="83"/>
    <n v="100"/>
    <x v="0"/>
    <x v="0"/>
  </r>
  <r>
    <s v="220_25"/>
    <x v="77"/>
    <s v="Dickson"/>
    <x v="31"/>
    <s v="All Students"/>
    <x v="73"/>
    <n v="99"/>
    <n v="19.600000000000001"/>
    <n v="19"/>
    <n v="20"/>
    <n v="20.2"/>
    <x v="9"/>
    <n v="135"/>
    <n v="147"/>
    <x v="0"/>
    <x v="0"/>
  </r>
  <r>
    <s v="230_18"/>
    <x v="78"/>
    <s v="Newbern"/>
    <x v="32"/>
    <s v="All Students"/>
    <x v="74"/>
    <n v="100"/>
    <n v="20.9"/>
    <n v="20"/>
    <n v="20.9"/>
    <n v="20.6"/>
    <x v="36"/>
    <n v="129"/>
    <n v="96"/>
    <x v="1"/>
    <x v="0"/>
  </r>
  <r>
    <s v="231_15"/>
    <x v="79"/>
    <s v="Dyersburg"/>
    <x v="33"/>
    <s v="All Students"/>
    <x v="75"/>
    <n v="100"/>
    <n v="20.5"/>
    <n v="20.6"/>
    <n v="20.7"/>
    <n v="20"/>
    <x v="49"/>
    <n v="67"/>
    <n v="61"/>
    <x v="1"/>
    <x v="0"/>
  </r>
  <r>
    <s v="240_26"/>
    <x v="80"/>
    <s v="Somerville"/>
    <x v="34"/>
    <s v="All Students"/>
    <x v="76"/>
    <n v="97"/>
    <n v="16.8"/>
    <n v="16.7"/>
    <n v="17.8"/>
    <n v="17.3"/>
    <x v="21"/>
    <n v="36"/>
    <n v="123"/>
    <x v="0"/>
    <x v="0"/>
  </r>
  <r>
    <s v="250_25"/>
    <x v="81"/>
    <s v="Clarkrange"/>
    <x v="35"/>
    <s v="All Students"/>
    <x v="77"/>
    <n v="98"/>
    <n v="19.399999999999999"/>
    <n v="19.600000000000001"/>
    <n v="19.600000000000001"/>
    <n v="19.7"/>
    <x v="0"/>
    <n v="24"/>
    <n v="25"/>
    <x v="0"/>
    <x v="0"/>
  </r>
  <r>
    <s v="260_50"/>
    <x v="82"/>
    <s v="Winchester"/>
    <x v="36"/>
    <s v="All Students"/>
    <x v="78"/>
    <n v="97"/>
    <n v="19.2"/>
    <n v="18.7"/>
    <n v="20"/>
    <n v="19.7"/>
    <x v="6"/>
    <n v="106"/>
    <n v="152"/>
    <x v="0"/>
    <x v="0"/>
  </r>
  <r>
    <s v="260_65"/>
    <x v="83"/>
    <s v="Huntland"/>
    <x v="36"/>
    <s v="All Students"/>
    <x v="25"/>
    <n v="100"/>
    <n v="19.399999999999999"/>
    <n v="18"/>
    <n v="19.5"/>
    <n v="19"/>
    <x v="48"/>
    <n v="21"/>
    <n v="28"/>
    <x v="0"/>
    <x v="0"/>
  </r>
  <r>
    <s v="271_20"/>
    <x v="84"/>
    <s v="Humboldt"/>
    <x v="37"/>
    <s v="All Students"/>
    <x v="77"/>
    <n v="96"/>
    <n v="17.100000000000001"/>
    <n v="17.399999999999999"/>
    <n v="19.5"/>
    <n v="18.3"/>
    <x v="50"/>
    <n v="17"/>
    <n v="33"/>
    <x v="0"/>
    <x v="0"/>
  </r>
  <r>
    <s v="272_10"/>
    <x v="85"/>
    <s v="Milan"/>
    <x v="38"/>
    <s v="All Students"/>
    <x v="79"/>
    <n v="99"/>
    <n v="19.5"/>
    <n v="20"/>
    <n v="21.4"/>
    <n v="20.9"/>
    <x v="49"/>
    <n v="71"/>
    <n v="59"/>
    <x v="1"/>
    <x v="0"/>
  </r>
  <r>
    <s v="273_5"/>
    <x v="86"/>
    <s v="Trenton"/>
    <x v="39"/>
    <s v="All Students"/>
    <x v="80"/>
    <n v="98"/>
    <n v="22.3"/>
    <n v="19.399999999999999"/>
    <n v="21.8"/>
    <n v="20.399999999999999"/>
    <x v="19"/>
    <n v="45"/>
    <n v="33"/>
    <x v="1"/>
    <x v="0"/>
  </r>
  <r>
    <s v="274_5"/>
    <x v="87"/>
    <s v="Bradford"/>
    <x v="40"/>
    <s v="All Students"/>
    <x v="81"/>
    <n v="100"/>
    <n v="21.5"/>
    <n v="21.8"/>
    <n v="22.7"/>
    <n v="21.4"/>
    <x v="27"/>
    <n v="16"/>
    <n v="9"/>
    <x v="1"/>
    <x v="1"/>
  </r>
  <r>
    <s v="275_33"/>
    <x v="88"/>
    <s v="Dyer"/>
    <x v="41"/>
    <s v="All Students"/>
    <x v="82"/>
    <n v="98"/>
    <n v="21"/>
    <n v="18.8"/>
    <n v="20.5"/>
    <n v="20"/>
    <x v="7"/>
    <n v="39"/>
    <n v="40"/>
    <x v="1"/>
    <x v="0"/>
  </r>
  <r>
    <s v="275_37"/>
    <x v="89"/>
    <s v="Medina"/>
    <x v="41"/>
    <s v="All Students"/>
    <x v="76"/>
    <n v="100"/>
    <n v="21.9"/>
    <n v="21"/>
    <n v="22.4"/>
    <n v="21.6"/>
    <x v="23"/>
    <n v="109"/>
    <n v="43"/>
    <x v="1"/>
    <x v="1"/>
  </r>
  <r>
    <s v="280_45"/>
    <x v="90"/>
    <s v="Pulaski"/>
    <x v="42"/>
    <s v="All Students"/>
    <x v="83"/>
    <n v="99"/>
    <n v="19.399999999999999"/>
    <n v="18.100000000000001"/>
    <n v="19.899999999999999"/>
    <n v="19.399999999999999"/>
    <x v="20"/>
    <n v="62"/>
    <n v="90"/>
    <x v="0"/>
    <x v="0"/>
  </r>
  <r>
    <s v="280_84"/>
    <x v="91"/>
    <s v="Lynnville"/>
    <x v="42"/>
    <s v="All Students"/>
    <x v="84"/>
    <n v="100"/>
    <n v="20.6"/>
    <n v="20.100000000000001"/>
    <n v="20.8"/>
    <n v="20.8"/>
    <x v="36"/>
    <n v="41"/>
    <n v="29"/>
    <x v="1"/>
    <x v="1"/>
  </r>
  <r>
    <s v="290_8"/>
    <x v="92"/>
    <s v="Rutledge"/>
    <x v="43"/>
    <s v="All Students"/>
    <x v="85"/>
    <n v="99"/>
    <n v="18.100000000000001"/>
    <n v="18.5"/>
    <n v="19.2"/>
    <n v="19"/>
    <x v="4"/>
    <n v="58"/>
    <n v="95"/>
    <x v="0"/>
    <x v="0"/>
  </r>
  <r>
    <s v="290_30"/>
    <x v="93"/>
    <s v="Washburn"/>
    <x v="43"/>
    <s v="All Students"/>
    <x v="86"/>
    <n v="100"/>
    <n v="15.2"/>
    <n v="17.899999999999999"/>
    <n v="17.399999999999999"/>
    <n v="18.100000000000001"/>
    <x v="44"/>
    <n v="7"/>
    <n v="26"/>
    <x v="0"/>
    <x v="0"/>
  </r>
  <r>
    <s v="290_32"/>
    <x v="94"/>
    <s v="Rutledge"/>
    <x v="43"/>
    <s v="All Students"/>
    <x v="44"/>
    <n v="72"/>
    <n v="13.4"/>
    <n v="15.1"/>
    <n v="13.4"/>
    <n v="14.8"/>
    <x v="51"/>
    <s v="**"/>
    <s v="**"/>
    <x v="0"/>
    <x v="0"/>
  </r>
  <r>
    <s v="300_28"/>
    <x v="95"/>
    <s v="Afton"/>
    <x v="44"/>
    <s v="All Students"/>
    <x v="87"/>
    <n v="99"/>
    <n v="17.5"/>
    <n v="17.7"/>
    <n v="18.899999999999999"/>
    <n v="18.8"/>
    <x v="17"/>
    <n v="42"/>
    <n v="89"/>
    <x v="0"/>
    <x v="0"/>
  </r>
  <r>
    <s v="300_70"/>
    <x v="96"/>
    <s v="Greeneville"/>
    <x v="44"/>
    <s v="All Students"/>
    <x v="88"/>
    <n v="97"/>
    <n v="18.3"/>
    <n v="19"/>
    <n v="19.8"/>
    <n v="19.399999999999999"/>
    <x v="48"/>
    <n v="39"/>
    <n v="42"/>
    <x v="0"/>
    <x v="0"/>
  </r>
  <r>
    <s v="300_80"/>
    <x v="97"/>
    <s v="Greeneville"/>
    <x v="44"/>
    <s v="All Students"/>
    <x v="89"/>
    <n v="96"/>
    <n v="18.8"/>
    <n v="18.7"/>
    <n v="19.5"/>
    <n v="19.100000000000001"/>
    <x v="48"/>
    <n v="46"/>
    <n v="56"/>
    <x v="0"/>
    <x v="0"/>
  </r>
  <r>
    <s v="300_95"/>
    <x v="98"/>
    <s v="Mosheim"/>
    <x v="44"/>
    <s v="All Students"/>
    <x v="90"/>
    <n v="98"/>
    <n v="17.600000000000001"/>
    <n v="17.8"/>
    <n v="18"/>
    <n v="18.8"/>
    <x v="50"/>
    <n v="36"/>
    <n v="79"/>
    <x v="0"/>
    <x v="0"/>
  </r>
  <r>
    <s v="301_20"/>
    <x v="99"/>
    <s v="Greeneville"/>
    <x v="45"/>
    <s v="All Students"/>
    <x v="91"/>
    <n v="100"/>
    <n v="21"/>
    <n v="22"/>
    <n v="22.1"/>
    <n v="22"/>
    <x v="23"/>
    <n v="115"/>
    <n v="54"/>
    <x v="1"/>
    <x v="1"/>
  </r>
  <r>
    <s v="310_25"/>
    <x v="100"/>
    <s v="Coalmont"/>
    <x v="46"/>
    <s v="All Students"/>
    <x v="70"/>
    <n v="100"/>
    <n v="19.899999999999999"/>
    <n v="18.7"/>
    <n v="20.399999999999999"/>
    <n v="19.600000000000001"/>
    <x v="9"/>
    <n v="46"/>
    <n v="54"/>
    <x v="0"/>
    <x v="0"/>
  </r>
  <r>
    <s v="320_42"/>
    <x v="101"/>
    <s v="Morristown"/>
    <x v="47"/>
    <s v="All Students"/>
    <x v="92"/>
    <n v="100"/>
    <n v="19.399999999999999"/>
    <n v="20.2"/>
    <n v="20.2"/>
    <n v="20.2"/>
    <x v="7"/>
    <n v="156"/>
    <n v="141"/>
    <x v="1"/>
    <x v="0"/>
  </r>
  <r>
    <s v="320_45"/>
    <x v="102"/>
    <s v="Morristown"/>
    <x v="47"/>
    <s v="All Students"/>
    <x v="93"/>
    <n v="99"/>
    <n v="19.8"/>
    <n v="20.6"/>
    <n v="21.2"/>
    <n v="21.1"/>
    <x v="25"/>
    <n v="142"/>
    <n v="113"/>
    <x v="1"/>
    <x v="0"/>
  </r>
  <r>
    <s v="330_21"/>
    <x v="103"/>
    <s v="Chattanooga"/>
    <x v="48"/>
    <s v="All Students"/>
    <x v="94"/>
    <n v="97"/>
    <n v="13"/>
    <n v="15.3"/>
    <n v="14.6"/>
    <n v="14.8"/>
    <x v="52"/>
    <s v="**"/>
    <s v="**"/>
    <x v="0"/>
    <x v="0"/>
  </r>
  <r>
    <s v="330_40"/>
    <x v="22"/>
    <s v="Harrison"/>
    <x v="48"/>
    <s v="All Students"/>
    <x v="95"/>
    <n v="99"/>
    <n v="18.100000000000001"/>
    <n v="18.100000000000001"/>
    <n v="19.3"/>
    <n v="19.100000000000001"/>
    <x v="18"/>
    <n v="58"/>
    <n v="92"/>
    <x v="0"/>
    <x v="0"/>
  </r>
  <r>
    <s v="330_45"/>
    <x v="104"/>
    <s v="Chattanooga"/>
    <x v="48"/>
    <s v="All Students"/>
    <x v="96"/>
    <n v="100"/>
    <n v="26.4"/>
    <n v="22.2"/>
    <n v="26.5"/>
    <n v="23.8"/>
    <x v="53"/>
    <n v="53"/>
    <n v="6"/>
    <x v="1"/>
    <x v="1"/>
  </r>
  <r>
    <s v="330_46"/>
    <x v="105"/>
    <s v="Chattanooga"/>
    <x v="48"/>
    <s v="All Students"/>
    <x v="97"/>
    <n v="99"/>
    <n v="23.3"/>
    <n v="22.8"/>
    <n v="24"/>
    <n v="23.2"/>
    <x v="54"/>
    <n v="67"/>
    <n v="18"/>
    <x v="1"/>
    <x v="1"/>
  </r>
  <r>
    <s v="330_59"/>
    <x v="106"/>
    <s v="Ooltewah"/>
    <x v="48"/>
    <s v="All Students"/>
    <x v="42"/>
    <n v="99"/>
    <n v="21.7"/>
    <n v="21.2"/>
    <n v="23.3"/>
    <n v="22.3"/>
    <x v="47"/>
    <n v="135"/>
    <n v="50"/>
    <x v="1"/>
    <x v="1"/>
  </r>
  <r>
    <s v="330_70"/>
    <x v="107"/>
    <s v="Chattanooga"/>
    <x v="48"/>
    <s v="All Students"/>
    <x v="64"/>
    <n v="99"/>
    <n v="15.9"/>
    <n v="17.100000000000001"/>
    <n v="17.3"/>
    <n v="18"/>
    <x v="44"/>
    <n v="29"/>
    <n v="97"/>
    <x v="0"/>
    <x v="0"/>
  </r>
  <r>
    <s v="330_86"/>
    <x v="108"/>
    <s v="Chattanooga"/>
    <x v="48"/>
    <s v="All Students"/>
    <x v="68"/>
    <n v="92"/>
    <n v="26"/>
    <n v="23.6"/>
    <n v="26.9"/>
    <n v="25.1"/>
    <x v="55"/>
    <s v="**"/>
    <s v="**"/>
    <x v="1"/>
    <x v="1"/>
  </r>
  <r>
    <s v="330_95"/>
    <x v="109"/>
    <s v="Ooltewah"/>
    <x v="48"/>
    <s v="All Students"/>
    <x v="98"/>
    <n v="91"/>
    <n v="15.1"/>
    <n v="16.5"/>
    <n v="16.8"/>
    <n v="16.399999999999999"/>
    <x v="56"/>
    <n v="14"/>
    <n v="67"/>
    <x v="0"/>
    <x v="0"/>
  </r>
  <r>
    <s v="330_128"/>
    <x v="110"/>
    <s v="Hixson"/>
    <x v="48"/>
    <s v="All Students"/>
    <x v="99"/>
    <n v="98"/>
    <n v="18.600000000000001"/>
    <n v="18.399999999999999"/>
    <n v="20"/>
    <n v="19.899999999999999"/>
    <x v="20"/>
    <n v="70"/>
    <n v="87"/>
    <x v="0"/>
    <x v="0"/>
  </r>
  <r>
    <s v="330_137"/>
    <x v="111"/>
    <s v="Chattanooga"/>
    <x v="48"/>
    <s v="All Students"/>
    <x v="7"/>
    <n v="88"/>
    <n v="13.5"/>
    <n v="15.7"/>
    <n v="15"/>
    <n v="15.5"/>
    <x v="12"/>
    <n v="7"/>
    <n v="118"/>
    <x v="0"/>
    <x v="0"/>
  </r>
  <r>
    <s v="330_160"/>
    <x v="112"/>
    <s v="Ooltewah"/>
    <x v="48"/>
    <s v="All Students"/>
    <x v="100"/>
    <n v="98"/>
    <n v="19.600000000000001"/>
    <n v="19.2"/>
    <n v="21.3"/>
    <n v="20.7"/>
    <x v="15"/>
    <n v="148"/>
    <n v="126"/>
    <x v="1"/>
    <x v="0"/>
  </r>
  <r>
    <s v="330_165"/>
    <x v="113"/>
    <s v="Chattanooga"/>
    <x v="48"/>
    <s v="All Students"/>
    <x v="101"/>
    <n v="98"/>
    <n v="18.899999999999999"/>
    <n v="19.600000000000001"/>
    <n v="20.7"/>
    <n v="20.100000000000001"/>
    <x v="5"/>
    <n v="22"/>
    <n v="21"/>
    <x v="1"/>
    <x v="0"/>
  </r>
  <r>
    <s v="330_175"/>
    <x v="114"/>
    <s v="Chattanooga"/>
    <x v="48"/>
    <s v="All Students"/>
    <x v="102"/>
    <n v="98"/>
    <n v="17.399999999999999"/>
    <n v="18.100000000000001"/>
    <n v="19.2"/>
    <n v="18.7"/>
    <x v="24"/>
    <n v="39"/>
    <n v="89"/>
    <x v="0"/>
    <x v="0"/>
  </r>
  <r>
    <s v="330_190"/>
    <x v="115"/>
    <s v="Sale Creek"/>
    <x v="48"/>
    <s v="All Students"/>
    <x v="96"/>
    <n v="100"/>
    <n v="20.399999999999999"/>
    <n v="20.399999999999999"/>
    <n v="22.8"/>
    <n v="21.2"/>
    <x v="29"/>
    <n v="35"/>
    <n v="19"/>
    <x v="1"/>
    <x v="1"/>
  </r>
  <r>
    <s v="330_196"/>
    <x v="116"/>
    <s v="Soddy Daisy"/>
    <x v="48"/>
    <s v="All Students"/>
    <x v="103"/>
    <n v="74"/>
    <n v="15.3"/>
    <n v="16.600000000000001"/>
    <n v="17.399999999999999"/>
    <n v="17.8"/>
    <x v="57"/>
    <n v="11"/>
    <n v="38"/>
    <x v="0"/>
    <x v="0"/>
  </r>
  <r>
    <s v="330_210"/>
    <x v="117"/>
    <s v="Signal Mountain"/>
    <x v="48"/>
    <s v="All Students"/>
    <x v="104"/>
    <n v="99"/>
    <n v="25.2"/>
    <n v="23.1"/>
    <n v="25.6"/>
    <n v="24.2"/>
    <x v="58"/>
    <n v="117"/>
    <n v="19"/>
    <x v="1"/>
    <x v="1"/>
  </r>
  <r>
    <s v="330_220"/>
    <x v="118"/>
    <s v="Soddy Daisy"/>
    <x v="48"/>
    <s v="All Students"/>
    <x v="105"/>
    <n v="99"/>
    <n v="20.3"/>
    <n v="21"/>
    <n v="21.4"/>
    <n v="21.1"/>
    <x v="43"/>
    <n v="143"/>
    <n v="97"/>
    <x v="1"/>
    <x v="1"/>
  </r>
  <r>
    <s v="330_237"/>
    <x v="119"/>
    <s v="Chattanooga"/>
    <x v="48"/>
    <s v="All Students"/>
    <x v="106"/>
    <n v="98"/>
    <n v="16.2"/>
    <n v="17.5"/>
    <n v="17.7"/>
    <n v="18.399999999999999"/>
    <x v="59"/>
    <n v="30"/>
    <n v="82"/>
    <x v="0"/>
    <x v="0"/>
  </r>
  <r>
    <s v="330_275"/>
    <x v="120"/>
    <s v="Chattanooga"/>
    <x v="48"/>
    <s v="All Students"/>
    <x v="107"/>
    <s v="*"/>
    <s v="*"/>
    <s v="*"/>
    <s v="*"/>
    <s v="*"/>
    <x v="14"/>
    <s v="*"/>
    <s v="*"/>
    <x v="2"/>
    <x v="0"/>
  </r>
  <r>
    <s v="330_280"/>
    <x v="121"/>
    <s v="Chattanooga"/>
    <x v="48"/>
    <s v="All Students"/>
    <x v="108"/>
    <n v="100"/>
    <n v="23.7"/>
    <n v="22.5"/>
    <n v="25.4"/>
    <n v="24.7"/>
    <x v="11"/>
    <n v="44"/>
    <n v="8"/>
    <x v="1"/>
    <x v="1"/>
  </r>
  <r>
    <s v="330_8001"/>
    <x v="122"/>
    <s v="Chattanooga"/>
    <x v="48"/>
    <s v="All Students"/>
    <x v="24"/>
    <n v="100"/>
    <n v="20.5"/>
    <n v="19.2"/>
    <n v="20.8"/>
    <n v="19.899999999999999"/>
    <x v="15"/>
    <n v="12"/>
    <n v="10"/>
    <x v="1"/>
    <x v="0"/>
  </r>
  <r>
    <s v="330_8002"/>
    <x v="123"/>
    <s v="Soddy Daisy"/>
    <x v="48"/>
    <s v="All Students"/>
    <x v="55"/>
    <n v="100"/>
    <n v="17.899999999999999"/>
    <n v="16.600000000000001"/>
    <n v="19.3"/>
    <n v="18.100000000000001"/>
    <x v="60"/>
    <n v="12"/>
    <n v="20"/>
    <x v="0"/>
    <x v="0"/>
  </r>
  <r>
    <s v="340_25"/>
    <x v="124"/>
    <s v="Sneedville"/>
    <x v="49"/>
    <s v="All Students"/>
    <x v="109"/>
    <n v="94"/>
    <n v="18.100000000000001"/>
    <n v="17.8"/>
    <n v="20"/>
    <n v="18.5"/>
    <x v="18"/>
    <n v="20"/>
    <n v="32"/>
    <x v="0"/>
    <x v="0"/>
  </r>
  <r>
    <s v="350_15"/>
    <x v="22"/>
    <s v="Bolivar"/>
    <x v="50"/>
    <s v="All Students"/>
    <x v="110"/>
    <n v="99"/>
    <n v="18.8"/>
    <n v="18.7"/>
    <n v="19.7"/>
    <n v="19.3"/>
    <x v="42"/>
    <n v="67"/>
    <n v="92"/>
    <x v="0"/>
    <x v="0"/>
  </r>
  <r>
    <s v="350_40"/>
    <x v="125"/>
    <s v="Middleton"/>
    <x v="50"/>
    <s v="All Students"/>
    <x v="111"/>
    <n v="98"/>
    <n v="18.5"/>
    <n v="17.899999999999999"/>
    <n v="18.8"/>
    <n v="19.7"/>
    <x v="4"/>
    <n v="26"/>
    <n v="40"/>
    <x v="0"/>
    <x v="0"/>
  </r>
  <r>
    <s v="360_15"/>
    <x v="126"/>
    <s v="Savannah"/>
    <x v="51"/>
    <s v="All Students"/>
    <x v="112"/>
    <n v="99"/>
    <n v="18.5"/>
    <n v="18.7"/>
    <n v="20"/>
    <n v="19.600000000000001"/>
    <x v="42"/>
    <n v="77"/>
    <n v="101"/>
    <x v="0"/>
    <x v="0"/>
  </r>
  <r>
    <s v="370_17"/>
    <x v="127"/>
    <s v="Rogersville"/>
    <x v="52"/>
    <s v="All Students"/>
    <x v="113"/>
    <n v="98"/>
    <n v="18.399999999999999"/>
    <n v="18.899999999999999"/>
    <n v="19.2"/>
    <n v="18.8"/>
    <x v="4"/>
    <n v="86"/>
    <n v="133"/>
    <x v="0"/>
    <x v="0"/>
  </r>
  <r>
    <s v="370_30"/>
    <x v="128"/>
    <s v="Sneedville"/>
    <x v="52"/>
    <s v="All Students"/>
    <x v="114"/>
    <n v="100"/>
    <n v="17.899999999999999"/>
    <n v="17.3"/>
    <n v="17.7"/>
    <n v="17.7"/>
    <x v="61"/>
    <n v="3"/>
    <n v="8"/>
    <x v="0"/>
    <x v="0"/>
  </r>
  <r>
    <s v="370_105"/>
    <x v="129"/>
    <s v="Church Hill"/>
    <x v="52"/>
    <s v="All Students"/>
    <x v="115"/>
    <n v="96"/>
    <n v="18.5"/>
    <n v="18.399999999999999"/>
    <n v="19.600000000000001"/>
    <n v="19.5"/>
    <x v="48"/>
    <n v="102"/>
    <n v="129"/>
    <x v="0"/>
    <x v="0"/>
  </r>
  <r>
    <s v="380_40"/>
    <x v="130"/>
    <s v="Brownsville"/>
    <x v="53"/>
    <s v="All Students"/>
    <x v="116"/>
    <n v="97"/>
    <n v="17.2"/>
    <n v="17.399999999999999"/>
    <n v="18.7"/>
    <n v="18.5"/>
    <x v="60"/>
    <n v="51"/>
    <n v="117"/>
    <x v="0"/>
    <x v="0"/>
  </r>
  <r>
    <s v="390_15"/>
    <x v="131"/>
    <s v="Lexington"/>
    <x v="54"/>
    <s v="All Students"/>
    <x v="117"/>
    <n v="100"/>
    <n v="19.8"/>
    <n v="20.399999999999999"/>
    <n v="20.5"/>
    <n v="20.3"/>
    <x v="15"/>
    <n v="105"/>
    <n v="85"/>
    <x v="1"/>
    <x v="0"/>
  </r>
  <r>
    <s v="390_39"/>
    <x v="132"/>
    <s v="Reagan"/>
    <x v="54"/>
    <s v="All Students"/>
    <x v="118"/>
    <n v="100"/>
    <n v="20.9"/>
    <n v="20.3"/>
    <n v="21.5"/>
    <n v="20.8"/>
    <x v="43"/>
    <n v="57"/>
    <n v="37"/>
    <x v="1"/>
    <x v="1"/>
  </r>
  <r>
    <s v="400_25"/>
    <x v="133"/>
    <s v="Paris"/>
    <x v="55"/>
    <s v="All Students"/>
    <x v="2"/>
    <n v="99"/>
    <n v="20.100000000000001"/>
    <n v="19.2"/>
    <n v="21"/>
    <n v="20.3"/>
    <x v="15"/>
    <n v="130"/>
    <n v="115"/>
    <x v="1"/>
    <x v="0"/>
  </r>
  <r>
    <s v="410_18"/>
    <x v="134"/>
    <s v="Lyles"/>
    <x v="56"/>
    <s v="All Students"/>
    <x v="119"/>
    <n v="99"/>
    <n v="18.899999999999999"/>
    <n v="19.2"/>
    <n v="19.5"/>
    <n v="19.8"/>
    <x v="6"/>
    <n v="43"/>
    <n v="54"/>
    <x v="0"/>
    <x v="0"/>
  </r>
  <r>
    <s v="410_30"/>
    <x v="135"/>
    <s v="Centerville"/>
    <x v="56"/>
    <s v="All Students"/>
    <x v="60"/>
    <n v="98"/>
    <n v="18.7"/>
    <n v="18"/>
    <n v="19.2"/>
    <n v="19.399999999999999"/>
    <x v="8"/>
    <n v="41"/>
    <n v="58"/>
    <x v="0"/>
    <x v="0"/>
  </r>
  <r>
    <s v="420_13"/>
    <x v="136"/>
    <s v="Erin"/>
    <x v="57"/>
    <s v="All Students"/>
    <x v="80"/>
    <n v="98"/>
    <n v="18.8"/>
    <n v="18.600000000000001"/>
    <n v="19.2"/>
    <n v="19.3"/>
    <x v="1"/>
    <n v="29"/>
    <n v="44"/>
    <x v="0"/>
    <x v="0"/>
  </r>
  <r>
    <s v="430_15"/>
    <x v="137"/>
    <s v="McEwen"/>
    <x v="58"/>
    <s v="All Students"/>
    <x v="25"/>
    <n v="100"/>
    <n v="19.5"/>
    <n v="19.899999999999999"/>
    <n v="21.7"/>
    <n v="21.1"/>
    <x v="36"/>
    <n v="28"/>
    <n v="19"/>
    <x v="1"/>
    <x v="0"/>
  </r>
  <r>
    <s v="430_20"/>
    <x v="138"/>
    <s v="Waverly"/>
    <x v="58"/>
    <s v="All Students"/>
    <x v="89"/>
    <n v="100"/>
    <n v="20.399999999999999"/>
    <n v="19.2"/>
    <n v="20.2"/>
    <n v="21.2"/>
    <x v="15"/>
    <n v="48"/>
    <n v="42"/>
    <x v="1"/>
    <x v="0"/>
  </r>
  <r>
    <s v="440_5"/>
    <x v="139"/>
    <s v="Gainesboro"/>
    <x v="59"/>
    <s v="All Students"/>
    <x v="120"/>
    <n v="98"/>
    <n v="16.600000000000001"/>
    <n v="18"/>
    <n v="18.600000000000001"/>
    <n v="18.399999999999999"/>
    <x v="62"/>
    <n v="29"/>
    <n v="59"/>
    <x v="0"/>
    <x v="0"/>
  </r>
  <r>
    <s v="450_20"/>
    <x v="140"/>
    <s v="Dandridge"/>
    <x v="60"/>
    <s v="All Students"/>
    <x v="121"/>
    <n v="97"/>
    <n v="19.7"/>
    <n v="19.3"/>
    <n v="20.399999999999999"/>
    <n v="20.100000000000001"/>
    <x v="5"/>
    <n v="212"/>
    <n v="205"/>
    <x v="1"/>
    <x v="0"/>
  </r>
  <r>
    <s v="460_15"/>
    <x v="141"/>
    <s v="Mountain City"/>
    <x v="61"/>
    <s v="All Students"/>
    <x v="122"/>
    <n v="99"/>
    <n v="18"/>
    <n v="19.2"/>
    <n v="19.600000000000001"/>
    <n v="19.5"/>
    <x v="48"/>
    <n v="61"/>
    <n v="75"/>
    <x v="0"/>
    <x v="0"/>
  </r>
  <r>
    <s v="470_9"/>
    <x v="142"/>
    <s v="Knoxville"/>
    <x v="62"/>
    <s v="All Students"/>
    <x v="89"/>
    <n v="100"/>
    <n v="15"/>
    <n v="16.399999999999999"/>
    <n v="16.399999999999999"/>
    <n v="16.399999999999999"/>
    <x v="38"/>
    <n v="11"/>
    <n v="93"/>
    <x v="0"/>
    <x v="0"/>
  </r>
  <r>
    <s v="470_17"/>
    <x v="143"/>
    <s v="Knoxville"/>
    <x v="62"/>
    <s v="All Students"/>
    <x v="123"/>
    <n v="100"/>
    <n v="23.7"/>
    <n v="22.3"/>
    <n v="24.2"/>
    <n v="23.4"/>
    <x v="54"/>
    <n v="321"/>
    <n v="91"/>
    <x v="1"/>
    <x v="1"/>
  </r>
  <r>
    <s v="470_35"/>
    <x v="144"/>
    <s v="Strawberry Plains"/>
    <x v="62"/>
    <s v="All Students"/>
    <x v="29"/>
    <n v="100"/>
    <n v="18.5"/>
    <n v="18.100000000000001"/>
    <n v="19.5"/>
    <n v="19.3"/>
    <x v="8"/>
    <n v="53"/>
    <n v="93"/>
    <x v="0"/>
    <x v="0"/>
  </r>
  <r>
    <s v="470_47"/>
    <x v="22"/>
    <s v="Knoxville"/>
    <x v="62"/>
    <s v="All Students"/>
    <x v="124"/>
    <n v="100"/>
    <n v="20.100000000000001"/>
    <n v="20.2"/>
    <n v="20.8"/>
    <n v="20.2"/>
    <x v="63"/>
    <n v="86"/>
    <n v="72"/>
    <x v="1"/>
    <x v="1"/>
  </r>
  <r>
    <s v="470_65"/>
    <x v="145"/>
    <s v="Knoxville"/>
    <x v="62"/>
    <s v="All Students"/>
    <x v="40"/>
    <n v="100"/>
    <n v="18"/>
    <n v="18.7"/>
    <n v="19.5"/>
    <n v="19.600000000000001"/>
    <x v="1"/>
    <n v="74"/>
    <n v="112"/>
    <x v="0"/>
    <x v="0"/>
  </r>
  <r>
    <s v="470_80"/>
    <x v="146"/>
    <s v="Knoxville"/>
    <x v="62"/>
    <s v="All Students"/>
    <x v="125"/>
    <n v="100"/>
    <n v="24.5"/>
    <n v="23.5"/>
    <n v="25.4"/>
    <n v="24.3"/>
    <x v="64"/>
    <n v="325"/>
    <n v="77"/>
    <x v="1"/>
    <x v="1"/>
  </r>
  <r>
    <s v="470_90"/>
    <x v="147"/>
    <s v="Knoxville"/>
    <x v="62"/>
    <s v="All Students"/>
    <x v="30"/>
    <n v="99"/>
    <n v="16.2"/>
    <n v="17.100000000000001"/>
    <n v="17.2"/>
    <n v="17.3"/>
    <x v="65"/>
    <n v="25"/>
    <n v="103"/>
    <x v="0"/>
    <x v="0"/>
  </r>
  <r>
    <s v="470_100"/>
    <x v="148"/>
    <s v="Corryton"/>
    <x v="62"/>
    <s v="All Students"/>
    <x v="126"/>
    <n v="99"/>
    <n v="19.399999999999999"/>
    <n v="19.100000000000001"/>
    <n v="20.3"/>
    <n v="19.7"/>
    <x v="9"/>
    <n v="84"/>
    <n v="96"/>
    <x v="0"/>
    <x v="0"/>
  </r>
  <r>
    <s v="470_115"/>
    <x v="149"/>
    <s v="Knoxville"/>
    <x v="62"/>
    <s v="All Students"/>
    <x v="93"/>
    <n v="100"/>
    <n v="21.8"/>
    <n v="20.7"/>
    <n v="22.7"/>
    <n v="21.7"/>
    <x v="23"/>
    <n v="168"/>
    <n v="82"/>
    <x v="1"/>
    <x v="1"/>
  </r>
  <r>
    <s v="470_126"/>
    <x v="150"/>
    <s v="Knoxville"/>
    <x v="62"/>
    <s v="All Students"/>
    <x v="127"/>
    <n v="100"/>
    <n v="22.6"/>
    <n v="21.5"/>
    <n v="23.6"/>
    <n v="22.9"/>
    <x v="66"/>
    <n v="302"/>
    <n v="87"/>
    <x v="1"/>
    <x v="1"/>
  </r>
  <r>
    <s v="470_150"/>
    <x v="151"/>
    <s v="Knoxville"/>
    <x v="62"/>
    <s v="All Students"/>
    <x v="128"/>
    <n v="99"/>
    <n v="20"/>
    <n v="19.399999999999999"/>
    <n v="21.2"/>
    <n v="20.6"/>
    <x v="63"/>
    <n v="130"/>
    <n v="109"/>
    <x v="1"/>
    <x v="0"/>
  </r>
  <r>
    <s v="470_158"/>
    <x v="152"/>
    <s v="Knoxville"/>
    <x v="62"/>
    <s v="All Students"/>
    <x v="107"/>
    <s v="*"/>
    <s v="*"/>
    <s v="*"/>
    <s v="*"/>
    <s v="*"/>
    <x v="14"/>
    <s v="*"/>
    <s v="*"/>
    <x v="2"/>
    <x v="0"/>
  </r>
  <r>
    <s v="470_185"/>
    <x v="153"/>
    <s v="Powell"/>
    <x v="62"/>
    <s v="All Students"/>
    <x v="129"/>
    <n v="100"/>
    <n v="19.899999999999999"/>
    <n v="19.3"/>
    <n v="21.3"/>
    <n v="20.7"/>
    <x v="63"/>
    <n v="135"/>
    <n v="99"/>
    <x v="1"/>
    <x v="0"/>
  </r>
  <r>
    <s v="470_305"/>
    <x v="154"/>
    <s v="Knoxville"/>
    <x v="62"/>
    <s v="All Students"/>
    <x v="130"/>
    <n v="98"/>
    <n v="23.1"/>
    <n v="21.5"/>
    <n v="23.4"/>
    <n v="22.8"/>
    <x v="67"/>
    <n v="170"/>
    <n v="101"/>
    <x v="1"/>
    <x v="1"/>
  </r>
  <r>
    <s v="470_332"/>
    <x v="155"/>
    <s v="Knoxville"/>
    <x v="62"/>
    <s v="All Students"/>
    <x v="122"/>
    <n v="95"/>
    <n v="14.9"/>
    <n v="16.3"/>
    <n v="16.2"/>
    <n v="16.2"/>
    <x v="45"/>
    <n v="17"/>
    <n v="125"/>
    <x v="0"/>
    <x v="0"/>
  </r>
  <r>
    <s v="470_334"/>
    <x v="156"/>
    <s v="Knoxville"/>
    <x v="62"/>
    <s v="All Students"/>
    <x v="65"/>
    <n v="99"/>
    <n v="26.1"/>
    <n v="23.8"/>
    <n v="26.7"/>
    <n v="25.3"/>
    <x v="55"/>
    <n v="113"/>
    <n v="13"/>
    <x v="1"/>
    <x v="1"/>
  </r>
  <r>
    <s v="470_345"/>
    <x v="157"/>
    <s v="Knoxville"/>
    <x v="62"/>
    <s v="All Students"/>
    <x v="131"/>
    <n v="100"/>
    <n v="19.7"/>
    <n v="18.5"/>
    <n v="21.7"/>
    <n v="19.899999999999999"/>
    <x v="7"/>
    <n v="27"/>
    <n v="22"/>
    <x v="1"/>
    <x v="0"/>
  </r>
  <r>
    <s v="480_5"/>
    <x v="158"/>
    <s v="Tiptonville"/>
    <x v="63"/>
    <s v="All Students"/>
    <x v="132"/>
    <n v="100"/>
    <n v="17.8"/>
    <n v="17.7"/>
    <n v="18.5"/>
    <n v="18.8"/>
    <x v="68"/>
    <n v="14"/>
    <n v="30"/>
    <x v="0"/>
    <x v="0"/>
  </r>
  <r>
    <s v="490_23"/>
    <x v="149"/>
    <s v="Halls"/>
    <x v="64"/>
    <s v="All Students"/>
    <x v="133"/>
    <n v="100"/>
    <n v="18.5"/>
    <n v="18.899999999999999"/>
    <n v="19.5"/>
    <n v="19.399999999999999"/>
    <x v="42"/>
    <n v="30"/>
    <n v="39"/>
    <x v="0"/>
    <x v="0"/>
  </r>
  <r>
    <s v="490_40"/>
    <x v="159"/>
    <s v="Ripley"/>
    <x v="64"/>
    <s v="All Students"/>
    <x v="85"/>
    <n v="100"/>
    <n v="15.6"/>
    <n v="16.7"/>
    <n v="17.100000000000001"/>
    <n v="17.2"/>
    <x v="34"/>
    <n v="31"/>
    <n v="135"/>
    <x v="0"/>
    <x v="0"/>
  </r>
  <r>
    <s v="500_40"/>
    <x v="160"/>
    <s v="Lawrenceburg"/>
    <x v="65"/>
    <s v="All Students"/>
    <x v="0"/>
    <n v="96"/>
    <n v="20"/>
    <n v="19.7"/>
    <n v="20.6"/>
    <n v="20.8"/>
    <x v="15"/>
    <n v="116"/>
    <n v="89"/>
    <x v="1"/>
    <x v="0"/>
  </r>
  <r>
    <s v="500_65"/>
    <x v="161"/>
    <s v="Loretto"/>
    <x v="65"/>
    <s v="All Students"/>
    <x v="82"/>
    <n v="98"/>
    <n v="20.6"/>
    <n v="19.8"/>
    <n v="20.8"/>
    <n v="20.8"/>
    <x v="49"/>
    <n v="49"/>
    <n v="38"/>
    <x v="1"/>
    <x v="0"/>
  </r>
  <r>
    <s v="500_95"/>
    <x v="162"/>
    <s v="Summertown"/>
    <x v="65"/>
    <s v="All Students"/>
    <x v="37"/>
    <n v="95"/>
    <n v="20.7"/>
    <n v="19.3"/>
    <n v="20.5"/>
    <n v="20.6"/>
    <x v="63"/>
    <n v="41"/>
    <n v="34"/>
    <x v="1"/>
    <x v="0"/>
  </r>
  <r>
    <s v="510_10"/>
    <x v="163"/>
    <s v="Hohenwald"/>
    <x v="66"/>
    <s v="All Students"/>
    <x v="97"/>
    <n v="99"/>
    <n v="18.7"/>
    <n v="18.3"/>
    <n v="19.100000000000001"/>
    <n v="18.7"/>
    <x v="4"/>
    <n v="28"/>
    <n v="53"/>
    <x v="0"/>
    <x v="0"/>
  </r>
  <r>
    <s v="520_56"/>
    <x v="164"/>
    <s v="Fayetteville"/>
    <x v="67"/>
    <s v="All Students"/>
    <x v="134"/>
    <n v="99"/>
    <n v="20.5"/>
    <n v="19.5"/>
    <n v="21"/>
    <n v="20.8"/>
    <x v="49"/>
    <n v="142"/>
    <n v="108"/>
    <x v="1"/>
    <x v="0"/>
  </r>
  <r>
    <s v="521_10"/>
    <x v="165"/>
    <s v="Fayetteville"/>
    <x v="68"/>
    <s v="All Students"/>
    <x v="23"/>
    <n v="92"/>
    <n v="19.8"/>
    <n v="19.5"/>
    <n v="21.1"/>
    <n v="20.7"/>
    <x v="15"/>
    <n v="32"/>
    <n v="31"/>
    <x v="1"/>
    <x v="0"/>
  </r>
  <r>
    <s v="530_25"/>
    <x v="166"/>
    <s v="Greenback"/>
    <x v="69"/>
    <s v="All Students"/>
    <x v="69"/>
    <n v="100"/>
    <n v="21.2"/>
    <n v="19.5"/>
    <n v="21.7"/>
    <n v="20.8"/>
    <x v="69"/>
    <n v="28"/>
    <n v="20"/>
    <x v="1"/>
    <x v="0"/>
  </r>
  <r>
    <s v="530_40"/>
    <x v="167"/>
    <s v="Loudon"/>
    <x v="69"/>
    <s v="All Students"/>
    <x v="79"/>
    <n v="98"/>
    <n v="20.399999999999999"/>
    <n v="19.8"/>
    <n v="20.7"/>
    <n v="20.7"/>
    <x v="49"/>
    <n v="77"/>
    <n v="54"/>
    <x v="1"/>
    <x v="0"/>
  </r>
  <r>
    <s v="531_5"/>
    <x v="168"/>
    <s v="Lenoir City"/>
    <x v="70"/>
    <s v="All Students"/>
    <x v="135"/>
    <n v="99"/>
    <n v="19.100000000000001"/>
    <n v="19.8"/>
    <n v="20.7"/>
    <n v="20.399999999999999"/>
    <x v="70"/>
    <n v="122"/>
    <n v="114"/>
    <x v="1"/>
    <x v="0"/>
  </r>
  <r>
    <s v="540_15"/>
    <x v="22"/>
    <s v="Englewood"/>
    <x v="71"/>
    <s v="All Students"/>
    <x v="64"/>
    <n v="97"/>
    <n v="20.6"/>
    <n v="19"/>
    <n v="20.7"/>
    <n v="20.3"/>
    <x v="71"/>
    <n v="68"/>
    <n v="63"/>
    <x v="1"/>
    <x v="0"/>
  </r>
  <r>
    <s v="540_45"/>
    <x v="169"/>
    <s v="Athens"/>
    <x v="71"/>
    <s v="All Students"/>
    <x v="15"/>
    <n v="97"/>
    <n v="19.3"/>
    <n v="19.7"/>
    <n v="20.7"/>
    <n v="20.2"/>
    <x v="70"/>
    <n v="144"/>
    <n v="144"/>
    <x v="1"/>
    <x v="0"/>
  </r>
  <r>
    <s v="550_10"/>
    <x v="170"/>
    <s v="Adamsville"/>
    <x v="72"/>
    <s v="All Students"/>
    <x v="136"/>
    <n v="93"/>
    <n v="18.3"/>
    <n v="17.899999999999999"/>
    <n v="19.3"/>
    <n v="18.899999999999999"/>
    <x v="18"/>
    <n v="39"/>
    <n v="75"/>
    <x v="0"/>
    <x v="0"/>
  </r>
  <r>
    <s v="550_20"/>
    <x v="171"/>
    <s v="Selmer"/>
    <x v="72"/>
    <s v="All Students"/>
    <x v="137"/>
    <n v="99"/>
    <n v="19.100000000000001"/>
    <n v="19"/>
    <n v="20"/>
    <n v="19.399999999999999"/>
    <x v="6"/>
    <n v="65"/>
    <n v="76"/>
    <x v="0"/>
    <x v="0"/>
  </r>
  <r>
    <s v="560_21"/>
    <x v="172"/>
    <s v="Lafayette"/>
    <x v="73"/>
    <s v="All Students"/>
    <x v="138"/>
    <n v="98"/>
    <n v="18.8"/>
    <n v="19.2"/>
    <n v="19.5"/>
    <n v="19.399999999999999"/>
    <x v="20"/>
    <n v="79"/>
    <n v="94"/>
    <x v="0"/>
    <x v="0"/>
  </r>
  <r>
    <s v="560_30"/>
    <x v="173"/>
    <s v="Red Boiling Spg"/>
    <x v="73"/>
    <s v="All Students"/>
    <x v="139"/>
    <n v="100"/>
    <n v="18.3"/>
    <n v="18"/>
    <n v="18.600000000000001"/>
    <n v="18.5"/>
    <x v="24"/>
    <n v="10"/>
    <n v="24"/>
    <x v="0"/>
    <x v="0"/>
  </r>
  <r>
    <s v="570_53"/>
    <x v="174"/>
    <s v="Jackson"/>
    <x v="74"/>
    <s v="All Students"/>
    <x v="140"/>
    <n v="98"/>
    <n v="15.1"/>
    <n v="16.399999999999999"/>
    <n v="16.899999999999999"/>
    <n v="16.8"/>
    <x v="72"/>
    <n v="24"/>
    <n v="165"/>
    <x v="0"/>
    <x v="0"/>
  </r>
  <r>
    <s v="570_63"/>
    <x v="175"/>
    <s v="Jackson"/>
    <x v="74"/>
    <s v="All Students"/>
    <x v="141"/>
    <n v="100"/>
    <n v="25.6"/>
    <n v="22.4"/>
    <n v="26"/>
    <n v="23.5"/>
    <x v="64"/>
    <n v="80"/>
    <n v="9"/>
    <x v="1"/>
    <x v="1"/>
  </r>
  <r>
    <s v="570_71"/>
    <x v="176"/>
    <s v="Jackson"/>
    <x v="74"/>
    <s v="All Students"/>
    <x v="142"/>
    <n v="100"/>
    <n v="15.6"/>
    <n v="16.5"/>
    <n v="17.5"/>
    <n v="17.3"/>
    <x v="57"/>
    <n v="32"/>
    <n v="179"/>
    <x v="0"/>
    <x v="0"/>
  </r>
  <r>
    <s v="570_105"/>
    <x v="177"/>
    <s v="Jackson"/>
    <x v="74"/>
    <s v="All Students"/>
    <x v="71"/>
    <n v="97"/>
    <n v="17.5"/>
    <n v="17.600000000000001"/>
    <n v="18.600000000000001"/>
    <n v="18"/>
    <x v="60"/>
    <n v="38"/>
    <n v="110"/>
    <x v="0"/>
    <x v="0"/>
  </r>
  <r>
    <s v="580_25"/>
    <x v="178"/>
    <s v="Jasper"/>
    <x v="75"/>
    <s v="All Students"/>
    <x v="143"/>
    <n v="100"/>
    <n v="19.7"/>
    <n v="19.3"/>
    <n v="20.3"/>
    <n v="20.3"/>
    <x v="5"/>
    <n v="50"/>
    <n v="41"/>
    <x v="1"/>
    <x v="0"/>
  </r>
  <r>
    <s v="580_55"/>
    <x v="179"/>
    <s v="South Pittsburg"/>
    <x v="75"/>
    <s v="All Students"/>
    <x v="144"/>
    <n v="100"/>
    <n v="19.8"/>
    <n v="19.100000000000001"/>
    <n v="20.6"/>
    <n v="19.8"/>
    <x v="5"/>
    <n v="25"/>
    <n v="26"/>
    <x v="1"/>
    <x v="0"/>
  </r>
  <r>
    <s v="580_70"/>
    <x v="180"/>
    <s v="Whitwell"/>
    <x v="75"/>
    <s v="All Students"/>
    <x v="80"/>
    <n v="98"/>
    <n v="18.2"/>
    <n v="17.8"/>
    <n v="18.5"/>
    <n v="19"/>
    <x v="73"/>
    <n v="25"/>
    <n v="48"/>
    <x v="0"/>
    <x v="0"/>
  </r>
  <r>
    <s v="581_5"/>
    <x v="181"/>
    <s v="South Pittsburg"/>
    <x v="76"/>
    <s v="All Students"/>
    <x v="145"/>
    <n v="96"/>
    <n v="19.600000000000001"/>
    <n v="18.7"/>
    <n v="20.8"/>
    <n v="19.899999999999999"/>
    <x v="74"/>
    <n v="8"/>
    <n v="10"/>
    <x v="0"/>
    <x v="0"/>
  </r>
  <r>
    <s v="590_20"/>
    <x v="182"/>
    <s v="Cornersville"/>
    <x v="77"/>
    <s v="All Students"/>
    <x v="43"/>
    <n v="100"/>
    <n v="20.6"/>
    <n v="20.399999999999999"/>
    <n v="21.5"/>
    <n v="21.8"/>
    <x v="19"/>
    <n v="37"/>
    <n v="22"/>
    <x v="1"/>
    <x v="1"/>
  </r>
  <r>
    <s v="590_30"/>
    <x v="183"/>
    <s v="Chapel Hill"/>
    <x v="77"/>
    <s v="All Students"/>
    <x v="146"/>
    <n v="100"/>
    <n v="19.899999999999999"/>
    <n v="19.5"/>
    <n v="20.399999999999999"/>
    <n v="20.2"/>
    <x v="7"/>
    <n v="52"/>
    <n v="55"/>
    <x v="1"/>
    <x v="0"/>
  </r>
  <r>
    <s v="590_47"/>
    <x v="184"/>
    <s v="Lewisburg"/>
    <x v="77"/>
    <s v="All Students"/>
    <x v="147"/>
    <n v="100"/>
    <n v="18.8"/>
    <n v="18.600000000000001"/>
    <n v="20.2"/>
    <n v="19.8"/>
    <x v="6"/>
    <n v="77"/>
    <n v="96"/>
    <x v="0"/>
    <x v="0"/>
  </r>
  <r>
    <s v="600_15"/>
    <x v="185"/>
    <s v="Columbia"/>
    <x v="78"/>
    <s v="All Students"/>
    <x v="129"/>
    <n v="98"/>
    <n v="18.2"/>
    <n v="18.2"/>
    <n v="19.600000000000001"/>
    <n v="18.7"/>
    <x v="18"/>
    <n v="91"/>
    <n v="153"/>
    <x v="0"/>
    <x v="0"/>
  </r>
  <r>
    <s v="600_30"/>
    <x v="186"/>
    <s v="Culleoka"/>
    <x v="78"/>
    <s v="All Students"/>
    <x v="101"/>
    <n v="98"/>
    <n v="18.8"/>
    <n v="18.8"/>
    <n v="19.399999999999999"/>
    <n v="19.8"/>
    <x v="20"/>
    <n v="19"/>
    <n v="23"/>
    <x v="0"/>
    <x v="0"/>
  </r>
  <r>
    <s v="600_40"/>
    <x v="187"/>
    <s v="Hampshire"/>
    <x v="78"/>
    <s v="All Students"/>
    <x v="148"/>
    <n v="100"/>
    <n v="20"/>
    <n v="19.899999999999999"/>
    <n v="19.399999999999999"/>
    <n v="20.100000000000001"/>
    <x v="5"/>
    <n v="9"/>
    <n v="8"/>
    <x v="1"/>
    <x v="0"/>
  </r>
  <r>
    <s v="600_65"/>
    <x v="188"/>
    <s v="Mt Pleasant"/>
    <x v="78"/>
    <s v="All Students"/>
    <x v="80"/>
    <n v="94"/>
    <n v="18.5"/>
    <n v="18.8"/>
    <n v="20.2"/>
    <n v="19.899999999999999"/>
    <x v="6"/>
    <n v="33"/>
    <n v="38"/>
    <x v="0"/>
    <x v="0"/>
  </r>
  <r>
    <s v="600_85"/>
    <x v="189"/>
    <s v="Santa Fe"/>
    <x v="78"/>
    <s v="All Students"/>
    <x v="149"/>
    <n v="100"/>
    <n v="20.3"/>
    <n v="20.100000000000001"/>
    <n v="19.3"/>
    <n v="19.899999999999999"/>
    <x v="5"/>
    <n v="18"/>
    <n v="21"/>
    <x v="1"/>
    <x v="0"/>
  </r>
  <r>
    <s v="600_95"/>
    <x v="190"/>
    <s v="Columbia"/>
    <x v="78"/>
    <s v="All Students"/>
    <x v="117"/>
    <n v="95"/>
    <n v="19.8"/>
    <n v="19.5"/>
    <n v="20.9"/>
    <n v="20.100000000000001"/>
    <x v="7"/>
    <n v="95"/>
    <n v="92"/>
    <x v="1"/>
    <x v="0"/>
  </r>
  <r>
    <s v="600_110"/>
    <x v="191"/>
    <s v="Spring Hill"/>
    <x v="78"/>
    <s v="All Students"/>
    <x v="150"/>
    <n v="67"/>
    <n v="15.6"/>
    <n v="16.5"/>
    <n v="17.100000000000001"/>
    <n v="17.3"/>
    <x v="57"/>
    <n v="9"/>
    <n v="26"/>
    <x v="0"/>
    <x v="0"/>
  </r>
  <r>
    <s v="610_25"/>
    <x v="192"/>
    <s v="Decatur"/>
    <x v="79"/>
    <s v="All Students"/>
    <x v="151"/>
    <n v="100"/>
    <n v="20.2"/>
    <n v="19.399999999999999"/>
    <n v="20"/>
    <n v="20"/>
    <x v="70"/>
    <n v="50"/>
    <n v="47"/>
    <x v="1"/>
    <x v="0"/>
  </r>
  <r>
    <s v="620_37"/>
    <x v="116"/>
    <s v="Madisonville"/>
    <x v="80"/>
    <s v="All Students"/>
    <x v="152"/>
    <n v="99"/>
    <n v="17.5"/>
    <n v="18.5"/>
    <n v="19.3"/>
    <n v="18.8"/>
    <x v="28"/>
    <n v="63"/>
    <n v="107"/>
    <x v="0"/>
    <x v="0"/>
  </r>
  <r>
    <s v="620_40"/>
    <x v="193"/>
    <s v="Sweetwater"/>
    <x v="80"/>
    <s v="All Students"/>
    <x v="11"/>
    <n v="99"/>
    <n v="17.100000000000001"/>
    <n v="18"/>
    <n v="18"/>
    <n v="18.2"/>
    <x v="62"/>
    <n v="41"/>
    <n v="87"/>
    <x v="0"/>
    <x v="0"/>
  </r>
  <r>
    <s v="620_50"/>
    <x v="194"/>
    <s v="Tellico Plains"/>
    <x v="80"/>
    <s v="All Students"/>
    <x v="88"/>
    <n v="94"/>
    <n v="17.899999999999999"/>
    <n v="18.5"/>
    <n v="18.399999999999999"/>
    <n v="19"/>
    <x v="73"/>
    <n v="28"/>
    <n v="50"/>
    <x v="0"/>
    <x v="0"/>
  </r>
  <r>
    <s v="630_19"/>
    <x v="195"/>
    <s v="Clarksville"/>
    <x v="81"/>
    <s v="All Students"/>
    <x v="153"/>
    <n v="100"/>
    <n v="17.399999999999999"/>
    <n v="18.2"/>
    <n v="19.3"/>
    <n v="19.399999999999999"/>
    <x v="28"/>
    <n v="81"/>
    <n v="157"/>
    <x v="0"/>
    <x v="0"/>
  </r>
  <r>
    <s v="630_25"/>
    <x v="196"/>
    <s v="Cunningham"/>
    <x v="81"/>
    <s v="All Students"/>
    <x v="154"/>
    <n v="99"/>
    <n v="19.2"/>
    <n v="19.100000000000001"/>
    <n v="20.7"/>
    <n v="20.100000000000001"/>
    <x v="5"/>
    <n v="97"/>
    <n v="106"/>
    <x v="1"/>
    <x v="0"/>
  </r>
  <r>
    <s v="630_30"/>
    <x v="197"/>
    <s v="Clarksville"/>
    <x v="81"/>
    <s v="All Students"/>
    <x v="155"/>
    <n v="98"/>
    <n v="21.1"/>
    <n v="20.7"/>
    <n v="22.5"/>
    <n v="21.7"/>
    <x v="75"/>
    <n v="175"/>
    <n v="98"/>
    <x v="1"/>
    <x v="1"/>
  </r>
  <r>
    <s v="630_68"/>
    <x v="198"/>
    <s v="Clarksville"/>
    <x v="81"/>
    <s v="All Students"/>
    <x v="156"/>
    <n v="99"/>
    <n v="18.7"/>
    <n v="18.7"/>
    <n v="20.8"/>
    <n v="20"/>
    <x v="0"/>
    <n v="111"/>
    <n v="134"/>
    <x v="0"/>
    <x v="0"/>
  </r>
  <r>
    <s v="630_70"/>
    <x v="199"/>
    <s v="Clarksville"/>
    <x v="81"/>
    <s v="All Students"/>
    <x v="105"/>
    <n v="99"/>
    <n v="18.600000000000001"/>
    <n v="18.899999999999999"/>
    <n v="19.8"/>
    <n v="19.8"/>
    <x v="20"/>
    <n v="113"/>
    <n v="140"/>
    <x v="0"/>
    <x v="0"/>
  </r>
  <r>
    <s v="630_78"/>
    <x v="200"/>
    <s v="Clarksville"/>
    <x v="81"/>
    <s v="All Students"/>
    <x v="157"/>
    <n v="97"/>
    <n v="21.5"/>
    <n v="21"/>
    <n v="22.7"/>
    <n v="22"/>
    <x v="23"/>
    <n v="213"/>
    <n v="110"/>
    <x v="1"/>
    <x v="1"/>
  </r>
  <r>
    <s v="630_88"/>
    <x v="201"/>
    <s v="Clarksville"/>
    <x v="81"/>
    <s v="All Students"/>
    <x v="35"/>
    <n v="100"/>
    <n v="27.1"/>
    <n v="23.8"/>
    <n v="26.4"/>
    <n v="25.4"/>
    <x v="76"/>
    <s v="**"/>
    <s v="**"/>
    <x v="1"/>
    <x v="1"/>
  </r>
  <r>
    <s v="630_100"/>
    <x v="202"/>
    <s v="Clarksville"/>
    <x v="81"/>
    <s v="All Students"/>
    <x v="158"/>
    <n v="99"/>
    <n v="18.600000000000001"/>
    <n v="18.8"/>
    <n v="20.399999999999999"/>
    <n v="19.7"/>
    <x v="6"/>
    <n v="122"/>
    <n v="151"/>
    <x v="0"/>
    <x v="0"/>
  </r>
  <r>
    <s v="640_15"/>
    <x v="203"/>
    <s v="Lynchburg"/>
    <x v="82"/>
    <s v="All Students"/>
    <x v="159"/>
    <n v="100"/>
    <n v="20.100000000000001"/>
    <n v="20.100000000000001"/>
    <n v="21.5"/>
    <n v="20.399999999999999"/>
    <x v="49"/>
    <n v="36"/>
    <n v="28"/>
    <x v="1"/>
    <x v="1"/>
  </r>
  <r>
    <s v="650_15"/>
    <x v="22"/>
    <s v="Wartburg"/>
    <x v="83"/>
    <s v="All Students"/>
    <x v="160"/>
    <n v="99"/>
    <n v="19.399999999999999"/>
    <n v="18.8"/>
    <n v="20.100000000000001"/>
    <n v="19.899999999999999"/>
    <x v="0"/>
    <n v="27"/>
    <n v="30"/>
    <x v="0"/>
    <x v="0"/>
  </r>
  <r>
    <s v="650_30"/>
    <x v="204"/>
    <s v="Coalfield"/>
    <x v="83"/>
    <s v="All Students"/>
    <x v="161"/>
    <n v="100"/>
    <n v="18.600000000000001"/>
    <n v="17.8"/>
    <n v="20.3"/>
    <n v="19.3"/>
    <x v="1"/>
    <n v="12"/>
    <n v="25"/>
    <x v="0"/>
    <x v="0"/>
  </r>
  <r>
    <s v="650_55"/>
    <x v="205"/>
    <s v="Oakdale"/>
    <x v="83"/>
    <s v="All Students"/>
    <x v="162"/>
    <n v="100"/>
    <n v="17.600000000000001"/>
    <n v="17.3"/>
    <n v="19.100000000000001"/>
    <n v="18.8"/>
    <x v="68"/>
    <n v="12"/>
    <n v="23"/>
    <x v="0"/>
    <x v="0"/>
  </r>
  <r>
    <s v="650_70"/>
    <x v="206"/>
    <s v="Sunbright"/>
    <x v="83"/>
    <s v="All Students"/>
    <x v="163"/>
    <n v="97"/>
    <n v="17.3"/>
    <n v="18.5"/>
    <n v="18.8"/>
    <n v="20"/>
    <x v="4"/>
    <n v="9"/>
    <n v="17"/>
    <x v="0"/>
    <x v="0"/>
  </r>
  <r>
    <s v="660_35"/>
    <x v="207"/>
    <s v="Troy"/>
    <x v="84"/>
    <s v="All Students"/>
    <x v="164"/>
    <n v="96"/>
    <n v="21.2"/>
    <n v="19.7"/>
    <n v="20.8"/>
    <n v="20.399999999999999"/>
    <x v="36"/>
    <n v="98"/>
    <n v="71"/>
    <x v="1"/>
    <x v="0"/>
  </r>
  <r>
    <s v="660_50"/>
    <x v="208"/>
    <s v="South Fulton"/>
    <x v="84"/>
    <s v="All Students"/>
    <x v="109"/>
    <n v="100"/>
    <n v="20.6"/>
    <n v="19.5"/>
    <n v="21.1"/>
    <n v="20.8"/>
    <x v="36"/>
    <n v="30"/>
    <n v="16"/>
    <x v="1"/>
    <x v="0"/>
  </r>
  <r>
    <s v="661_15"/>
    <x v="209"/>
    <s v="Union City"/>
    <x v="85"/>
    <s v="All Students"/>
    <x v="26"/>
    <n v="97"/>
    <n v="23.1"/>
    <n v="21.6"/>
    <n v="22.3"/>
    <n v="22.2"/>
    <x v="77"/>
    <n v="52"/>
    <n v="22"/>
    <x v="1"/>
    <x v="1"/>
  </r>
  <r>
    <s v="670_30"/>
    <x v="210"/>
    <s v="Livingston"/>
    <x v="86"/>
    <s v="All Students"/>
    <x v="165"/>
    <n v="99"/>
    <n v="20.399999999999999"/>
    <n v="21"/>
    <n v="21.6"/>
    <n v="20.9"/>
    <x v="43"/>
    <n v="104"/>
    <n v="64"/>
    <x v="1"/>
    <x v="1"/>
  </r>
  <r>
    <s v="680_27"/>
    <x v="211"/>
    <s v="Linden"/>
    <x v="87"/>
    <s v="All Students"/>
    <x v="166"/>
    <n v="100"/>
    <n v="17.2"/>
    <n v="17.7"/>
    <n v="18.600000000000001"/>
    <n v="18.600000000000001"/>
    <x v="60"/>
    <n v="19"/>
    <n v="41"/>
    <x v="0"/>
    <x v="0"/>
  </r>
  <r>
    <s v="690_5"/>
    <x v="212"/>
    <s v="Byrdstown"/>
    <x v="88"/>
    <s v="All Students"/>
    <x v="109"/>
    <n v="100"/>
    <n v="20.3"/>
    <n v="19.7"/>
    <n v="21.6"/>
    <n v="21.1"/>
    <x v="25"/>
    <n v="31"/>
    <n v="21"/>
    <x v="1"/>
    <x v="0"/>
  </r>
  <r>
    <s v="700_15"/>
    <x v="213"/>
    <s v="Copperhill"/>
    <x v="89"/>
    <s v="All Students"/>
    <x v="167"/>
    <n v="98"/>
    <n v="18.2"/>
    <n v="17.5"/>
    <n v="19.3"/>
    <n v="19.100000000000001"/>
    <x v="28"/>
    <n v="16"/>
    <n v="28"/>
    <x v="0"/>
    <x v="0"/>
  </r>
  <r>
    <s v="700_53"/>
    <x v="214"/>
    <s v="Benton"/>
    <x v="89"/>
    <s v="All Students"/>
    <x v="168"/>
    <n v="100"/>
    <n v="19.2"/>
    <n v="19"/>
    <n v="20.399999999999999"/>
    <n v="19.399999999999999"/>
    <x v="0"/>
    <n v="50"/>
    <n v="58"/>
    <x v="0"/>
    <x v="0"/>
  </r>
  <r>
    <s v="710_37"/>
    <x v="215"/>
    <s v="Cookeville"/>
    <x v="90"/>
    <s v="All Students"/>
    <x v="169"/>
    <n v="95"/>
    <n v="21"/>
    <n v="21.2"/>
    <n v="22.5"/>
    <n v="21.6"/>
    <x v="39"/>
    <n v="278"/>
    <n v="140"/>
    <x v="1"/>
    <x v="1"/>
  </r>
  <r>
    <s v="710_55"/>
    <x v="216"/>
    <s v="Monterey"/>
    <x v="90"/>
    <s v="All Students"/>
    <x v="166"/>
    <n v="99"/>
    <n v="17.399999999999999"/>
    <n v="18.7"/>
    <n v="19.399999999999999"/>
    <n v="19.399999999999999"/>
    <x v="4"/>
    <n v="24"/>
    <n v="33"/>
    <x v="0"/>
    <x v="0"/>
  </r>
  <r>
    <s v="710_90"/>
    <x v="217"/>
    <s v="Baxter"/>
    <x v="90"/>
    <s v="All Students"/>
    <x v="170"/>
    <n v="96"/>
    <n v="18.7"/>
    <n v="19.7"/>
    <n v="19.7"/>
    <n v="20"/>
    <x v="22"/>
    <n v="74"/>
    <n v="77"/>
    <x v="0"/>
    <x v="0"/>
  </r>
  <r>
    <s v="720_32"/>
    <x v="218"/>
    <s v="Evensville"/>
    <x v="91"/>
    <s v="All Students"/>
    <x v="171"/>
    <n v="99"/>
    <n v="18.2"/>
    <n v="18.600000000000001"/>
    <n v="19.5"/>
    <n v="19.2"/>
    <x v="1"/>
    <n v="112"/>
    <n v="167"/>
    <x v="0"/>
    <x v="0"/>
  </r>
  <r>
    <s v="730_15"/>
    <x v="219"/>
    <s v="Harriman"/>
    <x v="92"/>
    <s v="All Students"/>
    <x v="23"/>
    <n v="99"/>
    <n v="18.5"/>
    <n v="19.2"/>
    <n v="19.5"/>
    <n v="19.2"/>
    <x v="48"/>
    <n v="26"/>
    <n v="37"/>
    <x v="0"/>
    <x v="0"/>
  </r>
  <r>
    <s v="730_50"/>
    <x v="220"/>
    <s v="Kingston"/>
    <x v="92"/>
    <s v="All Students"/>
    <x v="77"/>
    <n v="98"/>
    <n v="19.100000000000001"/>
    <n v="19.7"/>
    <n v="20.9"/>
    <n v="20.8"/>
    <x v="71"/>
    <n v="24"/>
    <n v="20"/>
    <x v="1"/>
    <x v="0"/>
  </r>
  <r>
    <s v="730_65"/>
    <x v="221"/>
    <s v="Oliver Springs"/>
    <x v="92"/>
    <s v="All Students"/>
    <x v="109"/>
    <n v="100"/>
    <n v="19"/>
    <n v="18.5"/>
    <n v="19.899999999999999"/>
    <n v="20.6"/>
    <x v="0"/>
    <n v="19"/>
    <n v="26"/>
    <x v="0"/>
    <x v="0"/>
  </r>
  <r>
    <s v="730_80"/>
    <x v="222"/>
    <s v="Kingston"/>
    <x v="92"/>
    <s v="All Students"/>
    <x v="172"/>
    <n v="99"/>
    <n v="21.5"/>
    <n v="20.399999999999999"/>
    <n v="22.5"/>
    <n v="21.5"/>
    <x v="78"/>
    <n v="107"/>
    <n v="51"/>
    <x v="1"/>
    <x v="1"/>
  </r>
  <r>
    <s v="730_81"/>
    <x v="223"/>
    <s v="Harriman"/>
    <x v="92"/>
    <s v="All Students"/>
    <x v="173"/>
    <n v="97"/>
    <n v="15.3"/>
    <n v="17.600000000000001"/>
    <n v="16.3"/>
    <n v="17.3"/>
    <x v="34"/>
    <n v="5"/>
    <n v="23"/>
    <x v="0"/>
    <x v="0"/>
  </r>
  <r>
    <s v="730_85"/>
    <x v="224"/>
    <s v="Rockwood"/>
    <x v="92"/>
    <s v="All Students"/>
    <x v="174"/>
    <n v="98"/>
    <n v="18.600000000000001"/>
    <n v="18.399999999999999"/>
    <n v="19.899999999999999"/>
    <n v="20"/>
    <x v="20"/>
    <n v="28"/>
    <n v="37"/>
    <x v="0"/>
    <x v="0"/>
  </r>
  <r>
    <s v="740_32"/>
    <x v="225"/>
    <s v="Cross Plains"/>
    <x v="93"/>
    <s v="All Students"/>
    <x v="84"/>
    <n v="98"/>
    <n v="17.899999999999999"/>
    <n v="18.7"/>
    <n v="18.7"/>
    <n v="19.100000000000001"/>
    <x v="18"/>
    <n v="19"/>
    <n v="35"/>
    <x v="0"/>
    <x v="0"/>
  </r>
  <r>
    <s v="740_40"/>
    <x v="226"/>
    <s v="Greenbrier"/>
    <x v="93"/>
    <s v="All Students"/>
    <x v="175"/>
    <n v="98"/>
    <n v="20.7"/>
    <n v="20.7"/>
    <n v="21.9"/>
    <n v="21.4"/>
    <x v="10"/>
    <n v="92"/>
    <n v="51"/>
    <x v="1"/>
    <x v="1"/>
  </r>
  <r>
    <s v="740_45"/>
    <x v="227"/>
    <s v="Cedar Hill"/>
    <x v="93"/>
    <s v="All Students"/>
    <x v="80"/>
    <n v="99"/>
    <n v="19.100000000000001"/>
    <n v="18.899999999999999"/>
    <n v="20"/>
    <n v="18.7"/>
    <x v="42"/>
    <n v="31"/>
    <n v="41"/>
    <x v="0"/>
    <x v="0"/>
  </r>
  <r>
    <s v="740_70"/>
    <x v="228"/>
    <s v="Springfield"/>
    <x v="93"/>
    <s v="All Students"/>
    <x v="176"/>
    <n v="95"/>
    <n v="18"/>
    <n v="18.399999999999999"/>
    <n v="19.7"/>
    <n v="19.600000000000001"/>
    <x v="1"/>
    <n v="92"/>
    <n v="128"/>
    <x v="0"/>
    <x v="0"/>
  </r>
  <r>
    <s v="740_90"/>
    <x v="229"/>
    <s v="White House"/>
    <x v="93"/>
    <s v="All Students"/>
    <x v="104"/>
    <n v="96"/>
    <n v="20.3"/>
    <n v="20.7"/>
    <n v="21"/>
    <n v="21.2"/>
    <x v="69"/>
    <n v="74"/>
    <n v="49"/>
    <x v="1"/>
    <x v="1"/>
  </r>
  <r>
    <s v="740_95"/>
    <x v="230"/>
    <s v="Springfield"/>
    <x v="93"/>
    <s v="All Students"/>
    <x v="177"/>
    <s v="*"/>
    <s v="*"/>
    <s v="*"/>
    <s v="*"/>
    <s v="*"/>
    <x v="14"/>
    <s v="*"/>
    <s v="*"/>
    <x v="2"/>
    <x v="0"/>
  </r>
  <r>
    <s v="750_4"/>
    <x v="231"/>
    <s v="Murfreesboro"/>
    <x v="94"/>
    <s v="All Students"/>
    <x v="178"/>
    <n v="98"/>
    <n v="21.6"/>
    <n v="20.3"/>
    <n v="21.9"/>
    <n v="21.5"/>
    <x v="79"/>
    <n v="250"/>
    <n v="144"/>
    <x v="1"/>
    <x v="1"/>
  </r>
  <r>
    <s v="750_15"/>
    <x v="232"/>
    <s v="Murfreesboro"/>
    <x v="94"/>
    <s v="All Students"/>
    <x v="179"/>
    <n v="99"/>
    <n v="32.200000000000003"/>
    <n v="28.4"/>
    <n v="31.4"/>
    <n v="29.7"/>
    <x v="80"/>
    <s v="**"/>
    <s v="**"/>
    <x v="1"/>
    <x v="1"/>
  </r>
  <r>
    <s v="750_35"/>
    <x v="233"/>
    <s v="Eagleville"/>
    <x v="94"/>
    <s v="All Students"/>
    <x v="82"/>
    <n v="96"/>
    <n v="21.4"/>
    <n v="20.399999999999999"/>
    <n v="21.9"/>
    <n v="21.8"/>
    <x v="75"/>
    <n v="54"/>
    <n v="32"/>
    <x v="1"/>
    <x v="1"/>
  </r>
  <r>
    <s v="750_37"/>
    <x v="234"/>
    <s v="Murfreesboro"/>
    <x v="94"/>
    <s v="All Students"/>
    <x v="35"/>
    <n v="86"/>
    <n v="15.8"/>
    <n v="17.2"/>
    <n v="17.399999999999999"/>
    <n v="17.2"/>
    <x v="65"/>
    <n v="12"/>
    <n v="43"/>
    <x v="0"/>
    <x v="0"/>
  </r>
  <r>
    <s v="750_63"/>
    <x v="235"/>
    <s v="Lavergne"/>
    <x v="94"/>
    <s v="All Students"/>
    <x v="180"/>
    <n v="97"/>
    <n v="17.8"/>
    <n v="17.8"/>
    <n v="18.399999999999999"/>
    <n v="18.7"/>
    <x v="17"/>
    <n v="112"/>
    <n v="219"/>
    <x v="0"/>
    <x v="0"/>
  </r>
  <r>
    <s v="750_72"/>
    <x v="236"/>
    <s v="Murfreesboro"/>
    <x v="94"/>
    <s v="All Students"/>
    <x v="123"/>
    <n v="95"/>
    <n v="20.2"/>
    <n v="19.7"/>
    <n v="20.9"/>
    <n v="20.9"/>
    <x v="49"/>
    <n v="229"/>
    <n v="168"/>
    <x v="1"/>
    <x v="0"/>
  </r>
  <r>
    <s v="750_74"/>
    <x v="237"/>
    <s v="Murfreesboro"/>
    <x v="94"/>
    <s v="All Students"/>
    <x v="181"/>
    <n v="95"/>
    <n v="20.399999999999999"/>
    <n v="20"/>
    <n v="21.6"/>
    <n v="21.1"/>
    <x v="69"/>
    <n v="227"/>
    <n v="137"/>
    <x v="1"/>
    <x v="0"/>
  </r>
  <r>
    <s v="750_98"/>
    <x v="238"/>
    <s v="Smyrna"/>
    <x v="94"/>
    <s v="All Students"/>
    <x v="182"/>
    <n v="93"/>
    <n v="18.899999999999999"/>
    <n v="18.899999999999999"/>
    <n v="19.5"/>
    <n v="19.5"/>
    <x v="20"/>
    <n v="133"/>
    <n v="187"/>
    <x v="0"/>
    <x v="0"/>
  </r>
  <r>
    <s v="750_104"/>
    <x v="239"/>
    <s v="Murfreesboro"/>
    <x v="94"/>
    <s v="All Students"/>
    <x v="183"/>
    <n v="97"/>
    <n v="21.2"/>
    <n v="19.899999999999999"/>
    <n v="22"/>
    <n v="21.3"/>
    <x v="10"/>
    <n v="230"/>
    <n v="133"/>
    <x v="1"/>
    <x v="0"/>
  </r>
  <r>
    <s v="750_225"/>
    <x v="240"/>
    <s v="Smyrna"/>
    <x v="94"/>
    <s v="All Students"/>
    <x v="178"/>
    <n v="99"/>
    <n v="20.6"/>
    <n v="19.7"/>
    <n v="20.7"/>
    <n v="20.6"/>
    <x v="49"/>
    <n v="225"/>
    <n v="173"/>
    <x v="1"/>
    <x v="0"/>
  </r>
  <r>
    <s v="760_48"/>
    <x v="241"/>
    <s v="Huntsville"/>
    <x v="95"/>
    <s v="All Students"/>
    <x v="83"/>
    <n v="98"/>
    <n v="17.2"/>
    <n v="17.899999999999999"/>
    <n v="18.399999999999999"/>
    <n v="18.5"/>
    <x v="60"/>
    <n v="49"/>
    <n v="101"/>
    <x v="0"/>
    <x v="0"/>
  </r>
  <r>
    <s v="761_10"/>
    <x v="242"/>
    <s v="Oneida"/>
    <x v="96"/>
    <s v="All Students"/>
    <x v="184"/>
    <n v="100"/>
    <n v="19.899999999999999"/>
    <n v="20.100000000000001"/>
    <n v="21.8"/>
    <n v="20.7"/>
    <x v="25"/>
    <n v="52"/>
    <n v="31"/>
    <x v="1"/>
    <x v="0"/>
  </r>
  <r>
    <s v="770_20"/>
    <x v="243"/>
    <s v="Dunlap"/>
    <x v="97"/>
    <s v="All Students"/>
    <x v="185"/>
    <n v="98"/>
    <n v="19"/>
    <n v="19"/>
    <n v="20.399999999999999"/>
    <n v="19.899999999999999"/>
    <x v="0"/>
    <n v="61"/>
    <n v="74"/>
    <x v="0"/>
    <x v="0"/>
  </r>
  <r>
    <s v="780_20"/>
    <x v="244"/>
    <s v="Gatlinburg"/>
    <x v="98"/>
    <s v="All Students"/>
    <x v="186"/>
    <n v="98"/>
    <n v="24"/>
    <n v="22.1"/>
    <n v="24.4"/>
    <n v="23"/>
    <x v="81"/>
    <n v="76"/>
    <n v="33"/>
    <x v="1"/>
    <x v="1"/>
  </r>
  <r>
    <s v="780_30"/>
    <x v="245"/>
    <s v="Kodak"/>
    <x v="98"/>
    <s v="All Students"/>
    <x v="187"/>
    <n v="99"/>
    <n v="18"/>
    <n v="18.3"/>
    <n v="19.3"/>
    <n v="19.399999999999999"/>
    <x v="4"/>
    <n v="57"/>
    <n v="93"/>
    <x v="0"/>
    <x v="0"/>
  </r>
  <r>
    <s v="780_46"/>
    <x v="246"/>
    <s v="Pigeon Forge"/>
    <x v="98"/>
    <s v="All Students"/>
    <x v="64"/>
    <n v="98"/>
    <n v="19.2"/>
    <n v="18.899999999999999"/>
    <n v="20.3"/>
    <n v="20.100000000000001"/>
    <x v="9"/>
    <n v="58"/>
    <n v="62"/>
    <x v="0"/>
    <x v="0"/>
  </r>
  <r>
    <s v="780_52"/>
    <x v="247"/>
    <s v="Sevierville"/>
    <x v="98"/>
    <s v="All Students"/>
    <x v="188"/>
    <n v="81"/>
    <n v="14.9"/>
    <n v="16.2"/>
    <n v="16.5"/>
    <n v="15.8"/>
    <x v="45"/>
    <n v="6"/>
    <n v="41"/>
    <x v="0"/>
    <x v="0"/>
  </r>
  <r>
    <s v="780_55"/>
    <x v="248"/>
    <s v="Sevierville"/>
    <x v="98"/>
    <s v="All Students"/>
    <x v="51"/>
    <n v="100"/>
    <n v="19.600000000000001"/>
    <n v="19.5"/>
    <n v="20.6"/>
    <n v="20.100000000000001"/>
    <x v="70"/>
    <n v="98"/>
    <n v="89"/>
    <x v="1"/>
    <x v="0"/>
  </r>
  <r>
    <s v="780_70"/>
    <x v="249"/>
    <s v="Seymour"/>
    <x v="98"/>
    <s v="All Students"/>
    <x v="39"/>
    <n v="99"/>
    <n v="20.9"/>
    <n v="20.8"/>
    <n v="22.4"/>
    <n v="21.7"/>
    <x v="75"/>
    <n v="124"/>
    <n v="61"/>
    <x v="1"/>
    <x v="1"/>
  </r>
  <r>
    <s v="792_35"/>
    <x v="250"/>
    <s v="Arlington"/>
    <x v="99"/>
    <s v="All Students"/>
    <x v="189"/>
    <n v="98"/>
    <n v="18.100000000000001"/>
    <n v="17.5"/>
    <n v="19.3"/>
    <n v="18.399999999999999"/>
    <x v="24"/>
    <n v="76"/>
    <n v="162"/>
    <x v="0"/>
    <x v="0"/>
  </r>
  <r>
    <s v="792_110"/>
    <x v="251"/>
    <s v="Germantown"/>
    <x v="99"/>
    <s v="All Students"/>
    <x v="190"/>
    <n v="99"/>
    <n v="20"/>
    <n v="19.899999999999999"/>
    <n v="21.1"/>
    <n v="20.3"/>
    <x v="63"/>
    <n v="218"/>
    <n v="195"/>
    <x v="1"/>
    <x v="0"/>
  </r>
  <r>
    <s v="792_178"/>
    <x v="252"/>
    <s v="Memphis"/>
    <x v="99"/>
    <s v="All Students"/>
    <x v="191"/>
    <n v="99"/>
    <n v="14.8"/>
    <n v="16.899999999999999"/>
    <n v="16.8"/>
    <n v="17.2"/>
    <x v="82"/>
    <n v="42"/>
    <n v="253"/>
    <x v="0"/>
    <x v="0"/>
  </r>
  <r>
    <s v="792_2030"/>
    <x v="253"/>
    <s v="Memphis"/>
    <x v="99"/>
    <s v="All Students"/>
    <x v="192"/>
    <n v="100"/>
    <n v="11.7"/>
    <n v="15.1"/>
    <n v="13.4"/>
    <n v="14.5"/>
    <x v="83"/>
    <s v="**"/>
    <s v="**"/>
    <x v="0"/>
    <x v="0"/>
  </r>
  <r>
    <s v="792_2090"/>
    <x v="254"/>
    <s v="Memphis"/>
    <x v="99"/>
    <s v="All Students"/>
    <x v="193"/>
    <n v="99"/>
    <n v="17.600000000000001"/>
    <n v="18.2"/>
    <n v="19.8"/>
    <n v="19.2"/>
    <x v="18"/>
    <n v="117"/>
    <n v="180"/>
    <x v="0"/>
    <x v="0"/>
  </r>
  <r>
    <s v="792_2119"/>
    <x v="255"/>
    <s v="Cordova"/>
    <x v="99"/>
    <s v="All Students"/>
    <x v="194"/>
    <n v="98"/>
    <n v="16.7"/>
    <n v="17.100000000000001"/>
    <n v="18.7"/>
    <n v="18.2"/>
    <x v="26"/>
    <n v="119"/>
    <n v="312"/>
    <x v="0"/>
    <x v="0"/>
  </r>
  <r>
    <s v="792_2126"/>
    <x v="256"/>
    <s v="Memphis"/>
    <x v="99"/>
    <s v="All Students"/>
    <x v="195"/>
    <n v="97"/>
    <n v="14.5"/>
    <n v="16.100000000000001"/>
    <n v="16.3"/>
    <n v="16.5"/>
    <x v="45"/>
    <n v="19"/>
    <n v="145"/>
    <x v="0"/>
    <x v="0"/>
  </r>
  <r>
    <s v="792_2160"/>
    <x v="257"/>
    <s v="Memphis"/>
    <x v="99"/>
    <s v="All Students"/>
    <x v="89"/>
    <n v="97"/>
    <n v="14.4"/>
    <n v="15.9"/>
    <n v="16.100000000000001"/>
    <n v="16.7"/>
    <x v="16"/>
    <s v="**"/>
    <s v="**"/>
    <x v="0"/>
    <x v="0"/>
  </r>
  <r>
    <s v="792_2180"/>
    <x v="258"/>
    <s v="Memphis"/>
    <x v="99"/>
    <s v="All Students"/>
    <x v="80"/>
    <n v="97"/>
    <n v="14.1"/>
    <n v="16.100000000000001"/>
    <n v="15.8"/>
    <n v="17.100000000000001"/>
    <x v="45"/>
    <n v="8"/>
    <n v="66"/>
    <x v="0"/>
    <x v="0"/>
  </r>
  <r>
    <s v="792_2317"/>
    <x v="259"/>
    <s v="Memphis"/>
    <x v="99"/>
    <s v="All Students"/>
    <x v="196"/>
    <n v="99"/>
    <n v="13.4"/>
    <n v="15.8"/>
    <n v="15.4"/>
    <n v="15.5"/>
    <x v="84"/>
    <s v="**"/>
    <s v="**"/>
    <x v="0"/>
    <x v="0"/>
  </r>
  <r>
    <s v="792_2338"/>
    <x v="260"/>
    <s v="Memphis"/>
    <x v="99"/>
    <s v="All Students"/>
    <x v="148"/>
    <n v="100"/>
    <n v="21.2"/>
    <n v="20.399999999999999"/>
    <n v="21.1"/>
    <n v="20"/>
    <x v="25"/>
    <n v="12"/>
    <n v="6"/>
    <x v="1"/>
    <x v="0"/>
  </r>
  <r>
    <s v="792_2375"/>
    <x v="261"/>
    <s v="Memphis"/>
    <x v="99"/>
    <s v="All Students"/>
    <x v="51"/>
    <n v="100"/>
    <n v="14.1"/>
    <n v="16.600000000000001"/>
    <n v="16.100000000000001"/>
    <n v="17.3"/>
    <x v="38"/>
    <n v="24"/>
    <n v="168"/>
    <x v="0"/>
    <x v="0"/>
  </r>
  <r>
    <s v="792_2379"/>
    <x v="262"/>
    <s v="Memphis"/>
    <x v="99"/>
    <s v="All Students"/>
    <x v="110"/>
    <n v="95"/>
    <n v="14.1"/>
    <n v="16.600000000000001"/>
    <n v="16.2"/>
    <n v="16.7"/>
    <x v="45"/>
    <n v="14"/>
    <n v="141"/>
    <x v="0"/>
    <x v="0"/>
  </r>
  <r>
    <s v="792_2480"/>
    <x v="263"/>
    <s v="Memphis"/>
    <x v="99"/>
    <s v="All Students"/>
    <x v="97"/>
    <n v="100"/>
    <n v="12.2"/>
    <n v="15.5"/>
    <n v="14.4"/>
    <n v="15"/>
    <x v="85"/>
    <s v="**"/>
    <s v="**"/>
    <x v="0"/>
    <x v="0"/>
  </r>
  <r>
    <s v="792_2493"/>
    <x v="264"/>
    <s v="Memphis"/>
    <x v="99"/>
    <s v="All Students"/>
    <x v="70"/>
    <n v="98"/>
    <n v="13.2"/>
    <n v="16.100000000000001"/>
    <n v="15.5"/>
    <n v="16.3"/>
    <x v="46"/>
    <s v="**"/>
    <s v="**"/>
    <x v="0"/>
    <x v="0"/>
  </r>
  <r>
    <s v="792_2515"/>
    <x v="59"/>
    <s v="Memphis"/>
    <x v="99"/>
    <s v="All Students"/>
    <x v="28"/>
    <n v="97"/>
    <n v="23.6"/>
    <n v="21.3"/>
    <n v="24.6"/>
    <n v="22.7"/>
    <x v="2"/>
    <n v="55"/>
    <n v="5"/>
    <x v="1"/>
    <x v="1"/>
  </r>
  <r>
    <s v="792_2520"/>
    <x v="265"/>
    <s v="Memphis"/>
    <x v="99"/>
    <s v="All Students"/>
    <x v="141"/>
    <n v="96"/>
    <n v="12.7"/>
    <n v="15.7"/>
    <n v="14.5"/>
    <n v="15.1"/>
    <x v="52"/>
    <s v="**"/>
    <s v="**"/>
    <x v="0"/>
    <x v="0"/>
  </r>
  <r>
    <s v="792_2545"/>
    <x v="266"/>
    <s v="Memphis"/>
    <x v="99"/>
    <s v="All Students"/>
    <x v="28"/>
    <n v="97"/>
    <n v="13"/>
    <n v="16.3"/>
    <n v="14.3"/>
    <n v="15.7"/>
    <x v="86"/>
    <s v="**"/>
    <s v="**"/>
    <x v="0"/>
    <x v="0"/>
  </r>
  <r>
    <s v="792_2565"/>
    <x v="267"/>
    <s v="Memphis"/>
    <x v="99"/>
    <s v="All Students"/>
    <x v="154"/>
    <n v="99"/>
    <n v="17.399999999999999"/>
    <n v="17.2"/>
    <n v="18.7"/>
    <n v="18.2"/>
    <x v="60"/>
    <n v="57"/>
    <n v="145"/>
    <x v="0"/>
    <x v="0"/>
  </r>
  <r>
    <s v="792_2598"/>
    <x v="268"/>
    <s v="Memphis"/>
    <x v="99"/>
    <s v="All Students"/>
    <x v="70"/>
    <n v="99"/>
    <n v="13.6"/>
    <n v="15.8"/>
    <n v="15.3"/>
    <n v="15.5"/>
    <x v="84"/>
    <n v="7"/>
    <n v="105"/>
    <x v="0"/>
    <x v="0"/>
  </r>
  <r>
    <s v="792_2615"/>
    <x v="269"/>
    <s v="Memphis"/>
    <x v="99"/>
    <s v="All Students"/>
    <x v="197"/>
    <n v="99"/>
    <n v="15.6"/>
    <n v="16.899999999999999"/>
    <n v="17.7"/>
    <n v="17.600000000000001"/>
    <x v="65"/>
    <n v="49"/>
    <n v="200"/>
    <x v="0"/>
    <x v="0"/>
  </r>
  <r>
    <s v="792_2660"/>
    <x v="270"/>
    <s v="Memphis"/>
    <x v="99"/>
    <s v="All Students"/>
    <x v="168"/>
    <n v="96"/>
    <n v="12.6"/>
    <n v="15.6"/>
    <n v="14.5"/>
    <n v="15.2"/>
    <x v="87"/>
    <s v="**"/>
    <s v="**"/>
    <x v="0"/>
    <x v="0"/>
  </r>
  <r>
    <s v="792_2725"/>
    <x v="271"/>
    <s v="Memphis"/>
    <x v="99"/>
    <s v="All Students"/>
    <x v="3"/>
    <n v="98"/>
    <n v="12.4"/>
    <n v="15.3"/>
    <n v="13.5"/>
    <n v="15"/>
    <x v="88"/>
    <s v="**"/>
    <s v="**"/>
    <x v="0"/>
    <x v="0"/>
  </r>
  <r>
    <s v="792_2770"/>
    <x v="272"/>
    <s v="Memphis"/>
    <x v="99"/>
    <s v="All Students"/>
    <x v="167"/>
    <n v="96"/>
    <n v="14.5"/>
    <n v="15.8"/>
    <n v="15.4"/>
    <n v="16.3"/>
    <x v="89"/>
    <s v="**"/>
    <s v="**"/>
    <x v="0"/>
    <x v="0"/>
  </r>
  <r>
    <s v="792_2780"/>
    <x v="273"/>
    <s v="Memphis"/>
    <x v="99"/>
    <s v="All Students"/>
    <x v="198"/>
    <n v="99"/>
    <n v="23.7"/>
    <n v="22.3"/>
    <n v="24.6"/>
    <n v="23"/>
    <x v="90"/>
    <n v="303"/>
    <n v="137"/>
    <x v="1"/>
    <x v="1"/>
  </r>
  <r>
    <s v="792_2790"/>
    <x v="274"/>
    <s v="Memphis"/>
    <x v="99"/>
    <s v="All Students"/>
    <x v="199"/>
    <n v="99"/>
    <n v="17.2"/>
    <n v="17.399999999999999"/>
    <n v="18.7"/>
    <n v="18.3"/>
    <x v="60"/>
    <n v="93"/>
    <n v="238"/>
    <x v="0"/>
    <x v="0"/>
  </r>
  <r>
    <s v="792_2815"/>
    <x v="275"/>
    <s v="Memphis"/>
    <x v="99"/>
    <s v="All Students"/>
    <x v="165"/>
    <n v="99"/>
    <n v="13.9"/>
    <n v="16.3"/>
    <n v="16.2"/>
    <n v="16.399999999999999"/>
    <x v="16"/>
    <n v="23"/>
    <n v="151"/>
    <x v="0"/>
    <x v="0"/>
  </r>
  <r>
    <s v="792_2824"/>
    <x v="276"/>
    <s v="Memphis"/>
    <x v="99"/>
    <s v="All Students"/>
    <x v="161"/>
    <n v="91"/>
    <n v="11.8"/>
    <n v="14.9"/>
    <n v="13.8"/>
    <n v="14.3"/>
    <x v="91"/>
    <s v="**"/>
    <s v="**"/>
    <x v="0"/>
    <x v="0"/>
  </r>
  <r>
    <s v="792_2832"/>
    <x v="277"/>
    <s v="Memphis"/>
    <x v="99"/>
    <s v="All Students"/>
    <x v="200"/>
    <n v="92"/>
    <n v="16.5"/>
    <n v="16.899999999999999"/>
    <n v="18.7"/>
    <n v="18.3"/>
    <x v="61"/>
    <n v="2"/>
    <n v="8"/>
    <x v="0"/>
    <x v="0"/>
  </r>
  <r>
    <s v="792_8125"/>
    <x v="278"/>
    <s v="Memphis"/>
    <x v="99"/>
    <s v="All Students"/>
    <x v="201"/>
    <n v="100"/>
    <n v="14.6"/>
    <n v="15.3"/>
    <n v="16.8"/>
    <n v="16.100000000000001"/>
    <x v="16"/>
    <n v="3"/>
    <n v="32"/>
    <x v="0"/>
    <x v="0"/>
  </r>
  <r>
    <s v="792_8130"/>
    <x v="279"/>
    <s v="Memphis"/>
    <x v="99"/>
    <s v="All Students"/>
    <x v="16"/>
    <s v="*"/>
    <s v="*"/>
    <s v="*"/>
    <s v="*"/>
    <s v="*"/>
    <x v="14"/>
    <s v="*"/>
    <s v="*"/>
    <x v="2"/>
    <x v="0"/>
  </r>
  <r>
    <s v="792_8202"/>
    <x v="280"/>
    <s v="Memphis"/>
    <x v="99"/>
    <s v="All Students"/>
    <x v="84"/>
    <n v="100"/>
    <n v="15.8"/>
    <n v="17.3"/>
    <n v="17.399999999999999"/>
    <n v="17.7"/>
    <x v="44"/>
    <n v="12"/>
    <n v="57"/>
    <x v="0"/>
    <x v="0"/>
  </r>
  <r>
    <s v="792_8204"/>
    <x v="281"/>
    <s v="Memphis"/>
    <x v="99"/>
    <s v="All Students"/>
    <x v="144"/>
    <n v="100"/>
    <n v="15.5"/>
    <n v="16.2"/>
    <n v="16.7"/>
    <n v="16.8"/>
    <x v="72"/>
    <n v="6"/>
    <n v="49"/>
    <x v="0"/>
    <x v="0"/>
  </r>
  <r>
    <s v="792_8205"/>
    <x v="282"/>
    <s v="Memphis"/>
    <x v="99"/>
    <s v="All Students"/>
    <x v="25"/>
    <n v="100"/>
    <n v="15.7"/>
    <n v="17.2"/>
    <n v="16.7"/>
    <n v="17"/>
    <x v="34"/>
    <n v="6"/>
    <n v="44"/>
    <x v="0"/>
    <x v="0"/>
  </r>
  <r>
    <s v="792_8206"/>
    <x v="283"/>
    <s v="Memphis"/>
    <x v="99"/>
    <s v="All Students"/>
    <x v="11"/>
    <n v="100"/>
    <n v="17.5"/>
    <n v="17.100000000000001"/>
    <n v="18.5"/>
    <n v="18.2"/>
    <x v="62"/>
    <n v="29"/>
    <n v="90"/>
    <x v="0"/>
    <x v="0"/>
  </r>
  <r>
    <s v="792_8213"/>
    <x v="284"/>
    <s v="Memphis"/>
    <x v="99"/>
    <s v="All Students"/>
    <x v="84"/>
    <n v="99"/>
    <n v="17.5"/>
    <n v="16.899999999999999"/>
    <n v="17.399999999999999"/>
    <n v="18.3"/>
    <x v="32"/>
    <n v="15"/>
    <n v="51"/>
    <x v="0"/>
    <x v="0"/>
  </r>
  <r>
    <s v="792_8217"/>
    <x v="285"/>
    <s v="Memphis"/>
    <x v="99"/>
    <s v="All Students"/>
    <x v="37"/>
    <n v="100"/>
    <n v="17.2"/>
    <n v="17.7"/>
    <n v="17.3"/>
    <n v="17.8"/>
    <x v="32"/>
    <n v="17"/>
    <n v="60"/>
    <x v="0"/>
    <x v="0"/>
  </r>
  <r>
    <s v="792_8232"/>
    <x v="286"/>
    <s v="Memphis"/>
    <x v="99"/>
    <s v="All Students"/>
    <x v="202"/>
    <n v="100"/>
    <n v="19.7"/>
    <n v="18.899999999999999"/>
    <n v="20.100000000000001"/>
    <n v="18.899999999999999"/>
    <x v="22"/>
    <n v="31"/>
    <n v="33"/>
    <x v="0"/>
    <x v="0"/>
  </r>
  <r>
    <s v="792_8234"/>
    <x v="287"/>
    <s v="Memphis"/>
    <x v="99"/>
    <s v="All Students"/>
    <x v="103"/>
    <n v="100"/>
    <n v="17.3"/>
    <n v="18.600000000000001"/>
    <n v="18.5"/>
    <n v="18.8"/>
    <x v="24"/>
    <n v="16"/>
    <n v="31"/>
    <x v="0"/>
    <x v="0"/>
  </r>
  <r>
    <s v="792_8252"/>
    <x v="288"/>
    <s v="Memphis"/>
    <x v="99"/>
    <s v="All Students"/>
    <x v="203"/>
    <n v="100"/>
    <n v="17.7"/>
    <n v="18.600000000000001"/>
    <n v="18.899999999999999"/>
    <n v="18.399999999999999"/>
    <x v="73"/>
    <n v="12"/>
    <n v="32"/>
    <x v="0"/>
    <x v="0"/>
  </r>
  <r>
    <s v="792_8275"/>
    <x v="289"/>
    <s v="Memphis"/>
    <x v="99"/>
    <s v="All Students"/>
    <x v="204"/>
    <s v="*"/>
    <s v="*"/>
    <s v="*"/>
    <s v="*"/>
    <s v="*"/>
    <x v="14"/>
    <s v="*"/>
    <s v="*"/>
    <x v="2"/>
    <x v="0"/>
  </r>
  <r>
    <s v="793_1"/>
    <x v="290"/>
    <s v="Arlington"/>
    <x v="100"/>
    <s v="All Students"/>
    <x v="205"/>
    <n v="98"/>
    <n v="23.6"/>
    <n v="22.2"/>
    <n v="24.4"/>
    <n v="23.5"/>
    <x v="90"/>
    <n v="335"/>
    <n v="79"/>
    <x v="1"/>
    <x v="1"/>
  </r>
  <r>
    <s v="794_25"/>
    <x v="291"/>
    <s v="Bartlett"/>
    <x v="101"/>
    <s v="All Students"/>
    <x v="206"/>
    <n v="97"/>
    <n v="20.9"/>
    <n v="20.100000000000001"/>
    <n v="21.6"/>
    <n v="21.4"/>
    <x v="19"/>
    <n v="272"/>
    <n v="174"/>
    <x v="1"/>
    <x v="1"/>
  </r>
  <r>
    <s v="795_60"/>
    <x v="292"/>
    <s v="Collierville"/>
    <x v="102"/>
    <s v="All Students"/>
    <x v="207"/>
    <n v="100"/>
    <n v="25.2"/>
    <n v="24.1"/>
    <n v="25.5"/>
    <n v="25.1"/>
    <x v="92"/>
    <n v="462"/>
    <n v="71"/>
    <x v="1"/>
    <x v="1"/>
  </r>
  <r>
    <s v="796_111"/>
    <x v="293"/>
    <s v="Germantown"/>
    <x v="103"/>
    <s v="All Students"/>
    <x v="208"/>
    <n v="99"/>
    <n v="26.3"/>
    <n v="24.4"/>
    <n v="26.9"/>
    <n v="25.3"/>
    <x v="76"/>
    <n v="365"/>
    <n v="25"/>
    <x v="1"/>
    <x v="1"/>
  </r>
  <r>
    <s v="798_130"/>
    <x v="294"/>
    <s v="Millington"/>
    <x v="104"/>
    <s v="All Students"/>
    <x v="179"/>
    <n v="98"/>
    <n v="18.399999999999999"/>
    <n v="18.3"/>
    <n v="19.100000000000001"/>
    <n v="19"/>
    <x v="4"/>
    <n v="59"/>
    <n v="98"/>
    <x v="0"/>
    <x v="0"/>
  </r>
  <r>
    <s v="800_25"/>
    <x v="295"/>
    <s v="Gordonsville"/>
    <x v="105"/>
    <s v="All Students"/>
    <x v="159"/>
    <n v="100"/>
    <n v="19"/>
    <n v="19.899999999999999"/>
    <n v="20.3"/>
    <n v="19.600000000000001"/>
    <x v="9"/>
    <n v="31"/>
    <n v="28"/>
    <x v="0"/>
    <x v="0"/>
  </r>
  <r>
    <s v="800_45"/>
    <x v="296"/>
    <s v="Carthage"/>
    <x v="105"/>
    <s v="All Students"/>
    <x v="209"/>
    <n v="99"/>
    <n v="18.3"/>
    <n v="18.899999999999999"/>
    <n v="19.7"/>
    <n v="19.600000000000001"/>
    <x v="42"/>
    <n v="53"/>
    <n v="64"/>
    <x v="0"/>
    <x v="0"/>
  </r>
  <r>
    <s v="810_25"/>
    <x v="297"/>
    <s v="Dover"/>
    <x v="106"/>
    <s v="All Students"/>
    <x v="185"/>
    <n v="99"/>
    <n v="19.5"/>
    <n v="19.899999999999999"/>
    <n v="20.8"/>
    <n v="20.8"/>
    <x v="15"/>
    <n v="68"/>
    <n v="56"/>
    <x v="1"/>
    <x v="0"/>
  </r>
  <r>
    <s v="820_60"/>
    <x v="298"/>
    <s v="Blountville"/>
    <x v="107"/>
    <s v="All Students"/>
    <x v="40"/>
    <n v="99"/>
    <n v="19.100000000000001"/>
    <n v="19.5"/>
    <n v="20.5"/>
    <n v="20.3"/>
    <x v="5"/>
    <n v="97"/>
    <n v="89"/>
    <x v="1"/>
    <x v="0"/>
  </r>
  <r>
    <s v="820_80"/>
    <x v="299"/>
    <s v="Bluff City"/>
    <x v="107"/>
    <s v="All Students"/>
    <x v="210"/>
    <n v="100"/>
    <n v="20.2"/>
    <n v="19.8"/>
    <n v="21.4"/>
    <n v="20.2"/>
    <x v="49"/>
    <n v="101"/>
    <n v="75"/>
    <x v="1"/>
    <x v="0"/>
  </r>
  <r>
    <s v="820_182"/>
    <x v="300"/>
    <s v="Kingsport"/>
    <x v="107"/>
    <s v="All Students"/>
    <x v="211"/>
    <n v="98"/>
    <n v="16.7"/>
    <n v="17.8"/>
    <n v="18.899999999999999"/>
    <n v="18.899999999999999"/>
    <x v="62"/>
    <n v="27"/>
    <n v="77"/>
    <x v="0"/>
    <x v="0"/>
  </r>
  <r>
    <s v="820_183"/>
    <x v="301"/>
    <s v="Kingsport"/>
    <x v="107"/>
    <s v="All Students"/>
    <x v="52"/>
    <n v="99"/>
    <n v="20.7"/>
    <n v="21"/>
    <n v="22.4"/>
    <n v="21.6"/>
    <x v="75"/>
    <n v="103"/>
    <n v="77"/>
    <x v="1"/>
    <x v="1"/>
  </r>
  <r>
    <s v="821_45"/>
    <x v="302"/>
    <s v="Bristol"/>
    <x v="108"/>
    <s v="All Students"/>
    <x v="189"/>
    <n v="99"/>
    <n v="21.3"/>
    <n v="20.399999999999999"/>
    <n v="21.8"/>
    <n v="21.1"/>
    <x v="10"/>
    <n v="139"/>
    <n v="101"/>
    <x v="1"/>
    <x v="1"/>
  </r>
  <r>
    <s v="821_50"/>
    <x v="303"/>
    <s v="Bristol"/>
    <x v="108"/>
    <s v="All Students"/>
    <x v="66"/>
    <n v="95"/>
    <n v="20.9"/>
    <n v="19.399999999999999"/>
    <n v="22.6"/>
    <n v="20.9"/>
    <x v="43"/>
    <n v="40"/>
    <n v="23"/>
    <x v="1"/>
    <x v="0"/>
  </r>
  <r>
    <s v="822_10"/>
    <x v="304"/>
    <s v="Kingsport"/>
    <x v="109"/>
    <s v="All Students"/>
    <x v="212"/>
    <n v="98"/>
    <n v="21.2"/>
    <n v="21.9"/>
    <n v="22.3"/>
    <n v="21.8"/>
    <x v="27"/>
    <n v="288"/>
    <n v="167"/>
    <x v="1"/>
    <x v="1"/>
  </r>
  <r>
    <s v="830_7"/>
    <x v="305"/>
    <s v="Hendersonville"/>
    <x v="110"/>
    <s v="All Students"/>
    <x v="19"/>
    <n v="98"/>
    <n v="21"/>
    <n v="20.100000000000001"/>
    <n v="21.6"/>
    <n v="21.2"/>
    <x v="43"/>
    <n v="148"/>
    <n v="97"/>
    <x v="1"/>
    <x v="1"/>
  </r>
  <r>
    <s v="830_25"/>
    <x v="306"/>
    <s v="Gallatin"/>
    <x v="110"/>
    <s v="All Students"/>
    <x v="213"/>
    <n v="91"/>
    <n v="19.2"/>
    <n v="19.2"/>
    <n v="20.2"/>
    <n v="19.899999999999999"/>
    <x v="9"/>
    <n v="119"/>
    <n v="130"/>
    <x v="0"/>
    <x v="0"/>
  </r>
  <r>
    <s v="830_40"/>
    <x v="307"/>
    <s v="Hendersonville"/>
    <x v="110"/>
    <s v="All Students"/>
    <x v="9"/>
    <n v="97"/>
    <n v="22.5"/>
    <n v="21.2"/>
    <n v="23.3"/>
    <n v="22.6"/>
    <x v="77"/>
    <n v="220"/>
    <n v="76"/>
    <x v="1"/>
    <x v="1"/>
  </r>
  <r>
    <s v="830_53"/>
    <x v="308"/>
    <s v="Hendersonville"/>
    <x v="110"/>
    <s v="All Students"/>
    <x v="167"/>
    <n v="100"/>
    <n v="32"/>
    <n v="28.4"/>
    <n v="32.200000000000003"/>
    <n v="29.6"/>
    <x v="80"/>
    <s v="**"/>
    <s v="**"/>
    <x v="1"/>
    <x v="1"/>
  </r>
  <r>
    <s v="830_85"/>
    <x v="309"/>
    <s v="Portland"/>
    <x v="110"/>
    <s v="All Students"/>
    <x v="214"/>
    <n v="99"/>
    <n v="19.3"/>
    <n v="18.7"/>
    <n v="20.399999999999999"/>
    <n v="19.7"/>
    <x v="0"/>
    <n v="88"/>
    <n v="110"/>
    <x v="0"/>
    <x v="0"/>
  </r>
  <r>
    <s v="830_93"/>
    <x v="310"/>
    <s v="Gallatin"/>
    <x v="110"/>
    <s v="All Students"/>
    <x v="69"/>
    <n v="86"/>
    <n v="18.7"/>
    <n v="17.600000000000001"/>
    <n v="20.2"/>
    <n v="18.7"/>
    <x v="4"/>
    <n v="17"/>
    <n v="30"/>
    <x v="0"/>
    <x v="0"/>
  </r>
  <r>
    <s v="830_102"/>
    <x v="311"/>
    <s v="Gallatin"/>
    <x v="110"/>
    <s v="All Students"/>
    <x v="215"/>
    <n v="96"/>
    <n v="21"/>
    <n v="20.7"/>
    <n v="22.2"/>
    <n v="21.9"/>
    <x v="75"/>
    <n v="216"/>
    <n v="114"/>
    <x v="1"/>
    <x v="1"/>
  </r>
  <r>
    <s v="830_120"/>
    <x v="312"/>
    <s v="Westmoreland"/>
    <x v="110"/>
    <s v="All Students"/>
    <x v="21"/>
    <n v="92"/>
    <n v="21.7"/>
    <n v="21"/>
    <n v="22.6"/>
    <n v="21.3"/>
    <x v="78"/>
    <n v="50"/>
    <n v="28"/>
    <x v="1"/>
    <x v="1"/>
  </r>
  <r>
    <s v="830_125"/>
    <x v="313"/>
    <s v="White House"/>
    <x v="110"/>
    <s v="All Students"/>
    <x v="165"/>
    <n v="95"/>
    <n v="21.6"/>
    <n v="20.100000000000001"/>
    <n v="22.5"/>
    <n v="21.8"/>
    <x v="75"/>
    <n v="101"/>
    <n v="60"/>
    <x v="1"/>
    <x v="1"/>
  </r>
  <r>
    <s v="830_155"/>
    <x v="314"/>
    <s v="Gallatin"/>
    <x v="110"/>
    <s v="All Students"/>
    <x v="216"/>
    <n v="90"/>
    <n v="27.9"/>
    <n v="24.5"/>
    <n v="28.1"/>
    <n v="25.1"/>
    <x v="93"/>
    <s v="**"/>
    <s v="**"/>
    <x v="1"/>
    <x v="1"/>
  </r>
  <r>
    <s v="840_11"/>
    <x v="315"/>
    <s v="Brighton"/>
    <x v="111"/>
    <s v="All Students"/>
    <x v="217"/>
    <n v="99"/>
    <n v="20.9"/>
    <n v="20.3"/>
    <n v="21.3"/>
    <n v="21.4"/>
    <x v="19"/>
    <n v="160"/>
    <n v="98"/>
    <x v="1"/>
    <x v="1"/>
  </r>
  <r>
    <s v="840_15"/>
    <x v="316"/>
    <s v="Covington"/>
    <x v="111"/>
    <s v="All Students"/>
    <x v="218"/>
    <n v="90"/>
    <n v="20"/>
    <n v="20.2"/>
    <n v="19.100000000000001"/>
    <n v="19.399999999999999"/>
    <x v="9"/>
    <n v="81"/>
    <n v="79"/>
    <x v="0"/>
    <x v="0"/>
  </r>
  <r>
    <s v="840_50"/>
    <x v="317"/>
    <s v="Munford"/>
    <x v="111"/>
    <s v="All Students"/>
    <x v="128"/>
    <n v="96"/>
    <n v="20.9"/>
    <n v="20.5"/>
    <n v="21.3"/>
    <n v="21.5"/>
    <x v="19"/>
    <n v="144"/>
    <n v="84"/>
    <x v="1"/>
    <x v="1"/>
  </r>
  <r>
    <s v="850_10"/>
    <x v="318"/>
    <s v="Hartsville"/>
    <x v="112"/>
    <s v="All Students"/>
    <x v="174"/>
    <n v="100"/>
    <n v="19.100000000000001"/>
    <n v="19.399999999999999"/>
    <n v="19.8"/>
    <n v="20.100000000000001"/>
    <x v="0"/>
    <n v="30"/>
    <n v="36"/>
    <x v="0"/>
    <x v="0"/>
  </r>
  <r>
    <s v="860_35"/>
    <x v="319"/>
    <s v="Erwin"/>
    <x v="113"/>
    <s v="All Students"/>
    <x v="219"/>
    <n v="96"/>
    <n v="19.399999999999999"/>
    <n v="19.399999999999999"/>
    <n v="20.5"/>
    <n v="19.7"/>
    <x v="74"/>
    <n v="71"/>
    <n v="71"/>
    <x v="0"/>
    <x v="0"/>
  </r>
  <r>
    <s v="870_55"/>
    <x v="320"/>
    <s v="Maynardville"/>
    <x v="114"/>
    <s v="All Students"/>
    <x v="137"/>
    <n v="99"/>
    <n v="17"/>
    <n v="17"/>
    <n v="18"/>
    <n v="17.600000000000001"/>
    <x v="59"/>
    <n v="35"/>
    <n v="109"/>
    <x v="0"/>
    <x v="0"/>
  </r>
  <r>
    <s v="880_35"/>
    <x v="321"/>
    <s v="Spencer"/>
    <x v="115"/>
    <s v="All Students"/>
    <x v="69"/>
    <n v="98"/>
    <n v="16.5"/>
    <n v="17.100000000000001"/>
    <n v="17.5"/>
    <n v="17.2"/>
    <x v="44"/>
    <n v="11"/>
    <n v="37"/>
    <x v="0"/>
    <x v="0"/>
  </r>
  <r>
    <s v="890_80"/>
    <x v="322"/>
    <s v="McMinnville"/>
    <x v="116"/>
    <s v="All Students"/>
    <x v="220"/>
    <n v="99"/>
    <n v="18.3"/>
    <n v="18.2"/>
    <n v="18.899999999999999"/>
    <n v="19.100000000000001"/>
    <x v="18"/>
    <n v="156"/>
    <n v="251"/>
    <x v="0"/>
    <x v="0"/>
  </r>
  <r>
    <s v="900_37"/>
    <x v="323"/>
    <s v="Gray"/>
    <x v="117"/>
    <s v="All Students"/>
    <x v="221"/>
    <n v="99"/>
    <n v="19.7"/>
    <n v="19.2"/>
    <n v="20.100000000000001"/>
    <n v="19.8"/>
    <x v="74"/>
    <n v="137"/>
    <n v="131"/>
    <x v="0"/>
    <x v="0"/>
  </r>
  <r>
    <s v="900_38"/>
    <x v="324"/>
    <s v="Jonesborough"/>
    <x v="117"/>
    <s v="All Students"/>
    <x v="222"/>
    <n v="99"/>
    <n v="19.399999999999999"/>
    <n v="19.100000000000001"/>
    <n v="20"/>
    <n v="19.899999999999999"/>
    <x v="9"/>
    <n v="120"/>
    <n v="131"/>
    <x v="0"/>
    <x v="0"/>
  </r>
  <r>
    <s v="900_105"/>
    <x v="325"/>
    <s v="Johnson City"/>
    <x v="117"/>
    <s v="All Students"/>
    <x v="159"/>
    <n v="100"/>
    <n v="29"/>
    <n v="26.7"/>
    <n v="28.6"/>
    <n v="27.5"/>
    <x v="94"/>
    <s v="**"/>
    <s v="**"/>
    <x v="1"/>
    <x v="1"/>
  </r>
  <r>
    <s v="900_115"/>
    <x v="326"/>
    <s v="Johnson City"/>
    <x v="117"/>
    <s v="All Students"/>
    <x v="107"/>
    <s v="*"/>
    <s v="*"/>
    <s v="*"/>
    <s v="*"/>
    <s v="*"/>
    <x v="14"/>
    <s v="*"/>
    <s v="*"/>
    <x v="2"/>
    <x v="0"/>
  </r>
  <r>
    <s v="901_45"/>
    <x v="327"/>
    <s v="Johnson City"/>
    <x v="118"/>
    <s v="All Students"/>
    <x v="223"/>
    <n v="97"/>
    <n v="21.9"/>
    <n v="21.9"/>
    <n v="22.7"/>
    <n v="22.2"/>
    <x v="47"/>
    <n v="304"/>
    <n v="150"/>
    <x v="1"/>
    <x v="1"/>
  </r>
  <r>
    <s v="910_10"/>
    <x v="328"/>
    <s v="Collinwood"/>
    <x v="119"/>
    <s v="All Students"/>
    <x v="43"/>
    <n v="100"/>
    <n v="17.899999999999999"/>
    <n v="18.100000000000001"/>
    <n v="19"/>
    <n v="18.5"/>
    <x v="24"/>
    <n v="26"/>
    <n v="32"/>
    <x v="0"/>
    <x v="0"/>
  </r>
  <r>
    <s v="910_25"/>
    <x v="329"/>
    <s v="Clifton"/>
    <x v="119"/>
    <s v="All Students"/>
    <x v="14"/>
    <n v="93"/>
    <n v="19.8"/>
    <n v="18.5"/>
    <n v="19.399999999999999"/>
    <n v="19.3"/>
    <x v="20"/>
    <n v="11"/>
    <n v="13"/>
    <x v="0"/>
    <x v="0"/>
  </r>
  <r>
    <s v="910_35"/>
    <x v="330"/>
    <s v="Waynesboro"/>
    <x v="119"/>
    <s v="All Students"/>
    <x v="224"/>
    <n v="100"/>
    <n v="19.7"/>
    <n v="18.899999999999999"/>
    <n v="20.9"/>
    <n v="20.399999999999999"/>
    <x v="7"/>
    <n v="32"/>
    <n v="27"/>
    <x v="1"/>
    <x v="0"/>
  </r>
  <r>
    <s v="920_10"/>
    <x v="331"/>
    <s v="Dresden"/>
    <x v="120"/>
    <s v="All Students"/>
    <x v="84"/>
    <n v="98"/>
    <n v="19.5"/>
    <n v="20.7"/>
    <n v="20.7"/>
    <n v="20.9"/>
    <x v="63"/>
    <n v="39"/>
    <n v="33"/>
    <x v="1"/>
    <x v="0"/>
  </r>
  <r>
    <s v="920_15"/>
    <x v="332"/>
    <s v="Gleason"/>
    <x v="120"/>
    <s v="All Students"/>
    <x v="225"/>
    <n v="100"/>
    <n v="19.600000000000001"/>
    <n v="19.3"/>
    <n v="19.600000000000001"/>
    <n v="20.8"/>
    <x v="5"/>
    <n v="20"/>
    <n v="12"/>
    <x v="1"/>
    <x v="0"/>
  </r>
  <r>
    <s v="920_25"/>
    <x v="333"/>
    <s v="Greenfield"/>
    <x v="120"/>
    <s v="All Students"/>
    <x v="62"/>
    <n v="96"/>
    <n v="22.1"/>
    <n v="21.8"/>
    <n v="21.8"/>
    <n v="23"/>
    <x v="95"/>
    <n v="30"/>
    <n v="7"/>
    <x v="1"/>
    <x v="1"/>
  </r>
  <r>
    <s v="920_40"/>
    <x v="334"/>
    <s v="Martin"/>
    <x v="120"/>
    <s v="All Students"/>
    <x v="226"/>
    <n v="98"/>
    <n v="21.7"/>
    <n v="19.8"/>
    <n v="21.6"/>
    <n v="21.5"/>
    <x v="10"/>
    <n v="67"/>
    <n v="41"/>
    <x v="1"/>
    <x v="0"/>
  </r>
  <r>
    <s v="930_40"/>
    <x v="335"/>
    <s v="Sparta"/>
    <x v="121"/>
    <s v="All Students"/>
    <x v="227"/>
    <n v="99"/>
    <n v="19.100000000000001"/>
    <n v="19.8"/>
    <n v="19.5"/>
    <n v="19.899999999999999"/>
    <x v="0"/>
    <n v="103"/>
    <n v="111"/>
    <x v="0"/>
    <x v="0"/>
  </r>
  <r>
    <s v="940_12"/>
    <x v="336"/>
    <s v="Brentwood"/>
    <x v="122"/>
    <s v="All Students"/>
    <x v="228"/>
    <n v="100"/>
    <n v="28.1"/>
    <n v="26.7"/>
    <n v="28"/>
    <n v="26.9"/>
    <x v="96"/>
    <s v="**"/>
    <s v="**"/>
    <x v="1"/>
    <x v="1"/>
  </r>
  <r>
    <s v="940_17"/>
    <x v="337"/>
    <s v="Franklin"/>
    <x v="122"/>
    <s v="All Students"/>
    <x v="229"/>
    <n v="99"/>
    <n v="22.9"/>
    <n v="22.5"/>
    <n v="24"/>
    <n v="23.2"/>
    <x v="2"/>
    <n v="248"/>
    <n v="79"/>
    <x v="1"/>
    <x v="1"/>
  </r>
  <r>
    <s v="940_35"/>
    <x v="338"/>
    <s v="Fairview"/>
    <x v="122"/>
    <s v="All Students"/>
    <x v="136"/>
    <n v="98"/>
    <n v="21.8"/>
    <n v="21"/>
    <n v="22.8"/>
    <n v="21.8"/>
    <x v="27"/>
    <n v="83"/>
    <n v="39"/>
    <x v="1"/>
    <x v="1"/>
  </r>
  <r>
    <s v="940_40"/>
    <x v="339"/>
    <s v="Franklin"/>
    <x v="122"/>
    <s v="All Students"/>
    <x v="230"/>
    <n v="99"/>
    <n v="27"/>
    <n v="25.5"/>
    <n v="27.1"/>
    <n v="25.9"/>
    <x v="97"/>
    <n v="390"/>
    <n v="24"/>
    <x v="1"/>
    <x v="1"/>
  </r>
  <r>
    <s v="940_42"/>
    <x v="340"/>
    <s v="Franklin"/>
    <x v="122"/>
    <s v="All Students"/>
    <x v="227"/>
    <n v="98"/>
    <n v="26.1"/>
    <n v="24.2"/>
    <n v="25.6"/>
    <n v="25.2"/>
    <x v="98"/>
    <n v="207"/>
    <n v="28"/>
    <x v="1"/>
    <x v="1"/>
  </r>
  <r>
    <s v="940_52"/>
    <x v="341"/>
    <s v="Thompson's Station"/>
    <x v="122"/>
    <s v="All Students"/>
    <x v="231"/>
    <n v="99"/>
    <n v="24.4"/>
    <n v="22.7"/>
    <n v="24.9"/>
    <n v="24.2"/>
    <x v="99"/>
    <n v="259"/>
    <n v="46"/>
    <x v="1"/>
    <x v="1"/>
  </r>
  <r>
    <s v="940_63"/>
    <x v="342"/>
    <s v="Franklin"/>
    <x v="122"/>
    <s v="All Students"/>
    <x v="18"/>
    <n v="100"/>
    <n v="26.2"/>
    <n v="21.5"/>
    <n v="27.7"/>
    <n v="24"/>
    <x v="53"/>
    <n v="30"/>
    <n v="5"/>
    <x v="1"/>
    <x v="1"/>
  </r>
  <r>
    <s v="940_74"/>
    <x v="343"/>
    <s v="Brentwood"/>
    <x v="122"/>
    <s v="All Students"/>
    <x v="232"/>
    <n v="99"/>
    <n v="27"/>
    <n v="25.8"/>
    <n v="27.1"/>
    <n v="26.2"/>
    <x v="100"/>
    <s v="**"/>
    <s v="**"/>
    <x v="1"/>
    <x v="1"/>
  </r>
  <r>
    <s v="940_79"/>
    <x v="344"/>
    <s v="Spring Hill"/>
    <x v="122"/>
    <s v="All Students"/>
    <x v="233"/>
    <n v="98"/>
    <n v="23.8"/>
    <n v="22.5"/>
    <n v="24.5"/>
    <n v="23.6"/>
    <x v="101"/>
    <n v="238"/>
    <n v="46"/>
    <x v="1"/>
    <x v="1"/>
  </r>
  <r>
    <s v="950_25"/>
    <x v="345"/>
    <s v="Lebanon"/>
    <x v="123"/>
    <s v="All Students"/>
    <x v="234"/>
    <n v="99"/>
    <n v="19.8"/>
    <n v="19.2"/>
    <n v="20.399999999999999"/>
    <n v="20"/>
    <x v="5"/>
    <n v="177"/>
    <n v="188"/>
    <x v="1"/>
    <x v="0"/>
  </r>
  <r>
    <s v="950_30"/>
    <x v="346"/>
    <s v="Mt Juliet"/>
    <x v="123"/>
    <s v="All Students"/>
    <x v="235"/>
    <n v="99"/>
    <n v="23"/>
    <n v="21.5"/>
    <n v="23.2"/>
    <n v="22.5"/>
    <x v="102"/>
    <n v="310"/>
    <n v="120"/>
    <x v="1"/>
    <x v="1"/>
  </r>
  <r>
    <s v="950_60"/>
    <x v="347"/>
    <s v="Watertown"/>
    <x v="123"/>
    <s v="All Students"/>
    <x v="236"/>
    <n v="100"/>
    <n v="19.899999999999999"/>
    <n v="18.7"/>
    <n v="20.8"/>
    <n v="20.6"/>
    <x v="7"/>
    <n v="49"/>
    <n v="47"/>
    <x v="1"/>
    <x v="0"/>
  </r>
  <r>
    <s v="950_73"/>
    <x v="348"/>
    <s v="Lebanon"/>
    <x v="123"/>
    <s v="All Students"/>
    <x v="237"/>
    <n v="99"/>
    <n v="20.5"/>
    <n v="19.8"/>
    <n v="21.5"/>
    <n v="21"/>
    <x v="25"/>
    <n v="214"/>
    <n v="146"/>
    <x v="1"/>
    <x v="0"/>
  </r>
  <r>
    <s v="950_87"/>
    <x v="349"/>
    <s v="Lebanon"/>
    <x v="123"/>
    <s v="All Students"/>
    <x v="16"/>
    <s v="*"/>
    <s v="*"/>
    <s v="*"/>
    <s v="*"/>
    <s v="*"/>
    <x v="14"/>
    <s v="*"/>
    <s v="*"/>
    <x v="2"/>
    <x v="0"/>
  </r>
  <r>
    <s v="961_5"/>
    <x v="350"/>
    <s v="Jamestown"/>
    <x v="124"/>
    <s v="All Students"/>
    <x v="238"/>
    <n v="98"/>
    <n v="19"/>
    <n v="19.2"/>
    <n v="19"/>
    <n v="19.399999999999999"/>
    <x v="42"/>
    <n v="39"/>
    <n v="51"/>
    <x v="0"/>
    <x v="0"/>
  </r>
  <r>
    <s v="963_5"/>
    <x v="351"/>
    <s v="Nashville"/>
    <x v="125"/>
    <s v="All Students"/>
    <x v="204"/>
    <s v="*"/>
    <s v="*"/>
    <s v="*"/>
    <s v="*"/>
    <s v="*"/>
    <x v="14"/>
    <s v="*"/>
    <s v="*"/>
    <x v="2"/>
    <x v="0"/>
  </r>
  <r>
    <s v="964_10"/>
    <x v="352"/>
    <s v="Knoxville"/>
    <x v="126"/>
    <s v="All Students"/>
    <x v="239"/>
    <n v="91"/>
    <n v="10.7"/>
    <n v="15"/>
    <n v="14"/>
    <n v="13.8"/>
    <x v="103"/>
    <s v="**"/>
    <s v="**"/>
    <x v="0"/>
    <x v="0"/>
  </r>
  <r>
    <s v="985_35"/>
    <x v="353"/>
    <s v="Memphis"/>
    <x v="127"/>
    <s v="All Students"/>
    <x v="211"/>
    <n v="99"/>
    <n v="14.2"/>
    <n v="15.8"/>
    <n v="16.3"/>
    <n v="16.3"/>
    <x v="104"/>
    <n v="9"/>
    <n v="103"/>
    <x v="0"/>
    <x v="0"/>
  </r>
  <r>
    <s v="985_45"/>
    <x v="354"/>
    <s v="Memphis"/>
    <x v="127"/>
    <s v="All Students"/>
    <x v="240"/>
    <s v="*"/>
    <s v="*"/>
    <s v="*"/>
    <s v="*"/>
    <s v="*"/>
    <x v="14"/>
    <s v="*"/>
    <s v="*"/>
    <x v="2"/>
    <x v="0"/>
  </r>
  <r>
    <s v="985_50"/>
    <x v="355"/>
    <s v="Memphis"/>
    <x v="127"/>
    <s v="All Students"/>
    <x v="241"/>
    <s v="*"/>
    <s v="*"/>
    <s v="*"/>
    <s v="*"/>
    <s v="*"/>
    <x v="14"/>
    <s v="*"/>
    <s v="*"/>
    <x v="2"/>
    <x v="0"/>
  </r>
  <r>
    <s v="985_8055"/>
    <x v="356"/>
    <s v="Memphis"/>
    <x v="127"/>
    <s v="All Students"/>
    <x v="242"/>
    <n v="64"/>
    <n v="13.9"/>
    <n v="15.7"/>
    <n v="15.4"/>
    <n v="15.8"/>
    <x v="46"/>
    <n v="5"/>
    <n v="80"/>
    <x v="0"/>
    <x v="0"/>
  </r>
  <r>
    <s v="985_8065"/>
    <x v="357"/>
    <s v="Memphis"/>
    <x v="127"/>
    <s v="All Students"/>
    <x v="243"/>
    <n v="84"/>
    <n v="14.2"/>
    <n v="15.5"/>
    <n v="16"/>
    <n v="15.7"/>
    <x v="105"/>
    <n v="5"/>
    <n v="80"/>
    <x v="0"/>
    <x v="0"/>
  </r>
  <r>
    <s v="985_8140"/>
    <x v="358"/>
    <s v="Memphis"/>
    <x v="127"/>
    <s v="All Students"/>
    <x v="84"/>
    <n v="88"/>
    <n v="13.9"/>
    <n v="15.5"/>
    <n v="15.3"/>
    <n v="15.8"/>
    <x v="30"/>
    <s v="**"/>
    <s v="**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0D1EE-2F1D-4D61-8886-9279FD5889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6">
    <pivotField showAll="0"/>
    <pivotField dataField="1" showAll="0"/>
    <pivotField showAll="0"/>
    <pivotField axis="axisRow" showAll="0" measureFilter="1" sortType="descending">
      <items count="129">
        <item x="127"/>
        <item x="6"/>
        <item x="124"/>
        <item x="0"/>
        <item x="100"/>
        <item x="101"/>
        <item x="2"/>
        <item x="3"/>
        <item x="4"/>
        <item x="5"/>
        <item x="40"/>
        <item x="8"/>
        <item x="108"/>
        <item x="10"/>
        <item x="11"/>
        <item x="17"/>
        <item x="19"/>
        <item x="20"/>
        <item x="21"/>
        <item x="22"/>
        <item x="9"/>
        <item x="23"/>
        <item x="24"/>
        <item x="102"/>
        <item x="26"/>
        <item x="27"/>
        <item x="28"/>
        <item x="29"/>
        <item x="30"/>
        <item x="31"/>
        <item x="32"/>
        <item x="33"/>
        <item x="18"/>
        <item x="34"/>
        <item x="68"/>
        <item x="35"/>
        <item x="36"/>
        <item x="10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12"/>
        <item x="57"/>
        <item x="37"/>
        <item x="58"/>
        <item x="13"/>
        <item x="59"/>
        <item x="60"/>
        <item x="118"/>
        <item x="61"/>
        <item x="109"/>
        <item x="62"/>
        <item x="63"/>
        <item x="64"/>
        <item x="65"/>
        <item x="70"/>
        <item x="66"/>
        <item x="67"/>
        <item x="69"/>
        <item x="73"/>
        <item x="74"/>
        <item x="75"/>
        <item x="77"/>
        <item x="7"/>
        <item x="78"/>
        <item x="14"/>
        <item x="71"/>
        <item x="72"/>
        <item x="79"/>
        <item x="38"/>
        <item x="104"/>
        <item x="80"/>
        <item x="81"/>
        <item x="82"/>
        <item x="83"/>
        <item x="1"/>
        <item x="84"/>
        <item x="96"/>
        <item x="86"/>
        <item x="87"/>
        <item x="88"/>
        <item x="89"/>
        <item x="90"/>
        <item x="91"/>
        <item x="76"/>
        <item x="92"/>
        <item x="93"/>
        <item x="94"/>
        <item x="95"/>
        <item x="97"/>
        <item x="98"/>
        <item x="99"/>
        <item x="105"/>
        <item x="15"/>
        <item x="106"/>
        <item x="107"/>
        <item x="110"/>
        <item x="125"/>
        <item x="126"/>
        <item x="111"/>
        <item x="39"/>
        <item x="112"/>
        <item x="25"/>
        <item x="113"/>
        <item x="85"/>
        <item x="114"/>
        <item x="115"/>
        <item x="116"/>
        <item x="117"/>
        <item x="119"/>
        <item x="120"/>
        <item x="16"/>
        <item x="121"/>
        <item x="122"/>
        <item x="1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04"/>
    </i>
    <i>
      <x v="26"/>
    </i>
    <i>
      <x v="45"/>
    </i>
    <i>
      <x v="64"/>
    </i>
    <i>
      <x v="109"/>
    </i>
    <i>
      <x v="100"/>
    </i>
    <i t="grand">
      <x/>
    </i>
  </rowItems>
  <colItems count="1">
    <i/>
  </colItems>
  <dataFields count="1">
    <dataField name="Count of SCHOOL_NAME" fld="1" subtotal="count" baseField="0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3" type="button" dataOnly="0" labelOnly="1" outline="0" axis="axisRow" fieldPosition="0"/>
    </format>
    <format dxfId="14">
      <pivotArea dataOnly="0" labelOnly="1" fieldPosition="0">
        <references count="1">
          <reference field="3" count="50">
            <x v="0"/>
            <x v="3"/>
            <x v="6"/>
            <x v="7"/>
            <x v="9"/>
            <x v="11"/>
            <x v="12"/>
            <x v="15"/>
            <x v="16"/>
            <x v="18"/>
            <x v="20"/>
            <x v="25"/>
            <x v="26"/>
            <x v="36"/>
            <x v="38"/>
            <x v="39"/>
            <x v="40"/>
            <x v="41"/>
            <x v="45"/>
            <x v="47"/>
            <x v="49"/>
            <x v="51"/>
            <x v="57"/>
            <x v="64"/>
            <x v="67"/>
            <x v="71"/>
            <x v="72"/>
            <x v="73"/>
            <x v="74"/>
            <x v="75"/>
            <x v="77"/>
            <x v="84"/>
            <x v="85"/>
            <x v="87"/>
            <x v="89"/>
            <x v="94"/>
            <x v="95"/>
            <x v="98"/>
            <x v="99"/>
            <x v="100"/>
            <x v="103"/>
            <x v="104"/>
            <x v="108"/>
            <x v="109"/>
            <x v="112"/>
            <x v="121"/>
            <x v="122"/>
            <x v="123"/>
            <x v="126"/>
            <x v="127"/>
          </reference>
        </references>
      </pivotArea>
    </format>
    <format dxfId="13">
      <pivotArea dataOnly="0" labelOnly="1" fieldPosition="0">
        <references count="1">
          <reference field="3" count="50">
            <x v="4"/>
            <x v="8"/>
            <x v="10"/>
            <x v="13"/>
            <x v="14"/>
            <x v="19"/>
            <x v="21"/>
            <x v="22"/>
            <x v="23"/>
            <x v="24"/>
            <x v="27"/>
            <x v="28"/>
            <x v="29"/>
            <x v="30"/>
            <x v="31"/>
            <x v="32"/>
            <x v="33"/>
            <x v="34"/>
            <x v="35"/>
            <x v="37"/>
            <x v="44"/>
            <x v="48"/>
            <x v="50"/>
            <x v="53"/>
            <x v="55"/>
            <x v="59"/>
            <x v="60"/>
            <x v="61"/>
            <x v="62"/>
            <x v="65"/>
            <x v="66"/>
            <x v="68"/>
            <x v="70"/>
            <x v="76"/>
            <x v="78"/>
            <x v="79"/>
            <x v="80"/>
            <x v="93"/>
            <x v="96"/>
            <x v="97"/>
            <x v="101"/>
            <x v="102"/>
            <x v="105"/>
            <x v="106"/>
            <x v="110"/>
            <x v="114"/>
            <x v="116"/>
            <x v="118"/>
            <x v="120"/>
            <x v="124"/>
          </reference>
        </references>
      </pivotArea>
    </format>
    <format dxfId="12">
      <pivotArea dataOnly="0" labelOnly="1" fieldPosition="0">
        <references count="1">
          <reference field="3" count="28">
            <x v="1"/>
            <x v="2"/>
            <x v="5"/>
            <x v="17"/>
            <x v="42"/>
            <x v="43"/>
            <x v="46"/>
            <x v="52"/>
            <x v="54"/>
            <x v="56"/>
            <x v="58"/>
            <x v="63"/>
            <x v="69"/>
            <x v="81"/>
            <x v="82"/>
            <x v="83"/>
            <x v="86"/>
            <x v="88"/>
            <x v="90"/>
            <x v="91"/>
            <x v="92"/>
            <x v="107"/>
            <x v="111"/>
            <x v="113"/>
            <x v="115"/>
            <x v="117"/>
            <x v="119"/>
            <x v="125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7853B-46B7-4579-ADE0-0219C37CE1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6">
    <pivotField showAll="0"/>
    <pivotField showAll="0">
      <items count="360">
        <item x="170"/>
        <item x="11"/>
        <item x="350"/>
        <item x="0"/>
        <item x="48"/>
        <item x="290"/>
        <item x="142"/>
        <item x="253"/>
        <item x="291"/>
        <item x="143"/>
        <item x="305"/>
        <item x="6"/>
        <item x="231"/>
        <item x="8"/>
        <item x="250"/>
        <item x="87"/>
        <item x="13"/>
        <item x="16"/>
        <item x="103"/>
        <item x="336"/>
        <item x="315"/>
        <item x="7"/>
        <item x="19"/>
        <item x="50"/>
        <item x="21"/>
        <item x="157"/>
        <item x="144"/>
        <item x="3"/>
        <item x="337"/>
        <item x="254"/>
        <item x="22"/>
        <item x="232"/>
        <item x="104"/>
        <item x="122"/>
        <item x="105"/>
        <item x="32"/>
        <item x="127"/>
        <item x="35"/>
        <item x="95"/>
        <item x="281"/>
        <item x="37"/>
        <item x="81"/>
        <item x="25"/>
        <item x="197"/>
        <item x="38"/>
        <item x="17"/>
        <item x="128"/>
        <item x="1"/>
        <item x="27"/>
        <item x="204"/>
        <item x="39"/>
        <item x="41"/>
        <item x="292"/>
        <item x="328"/>
        <item x="185"/>
        <item x="5"/>
        <item x="215"/>
        <item x="213"/>
        <item x="60"/>
        <item x="255"/>
        <item x="182"/>
        <item x="40"/>
        <item x="316"/>
        <item x="256"/>
        <item x="76"/>
        <item x="43"/>
        <item x="186"/>
        <item x="44"/>
        <item x="36"/>
        <item x="323"/>
        <item x="324"/>
        <item x="75"/>
        <item x="77"/>
        <item x="304"/>
        <item x="257"/>
        <item x="155"/>
        <item x="331"/>
        <item x="279"/>
        <item x="278"/>
        <item x="78"/>
        <item x="79"/>
        <item x="310"/>
        <item x="233"/>
        <item x="106"/>
        <item x="134"/>
        <item x="258"/>
        <item x="51"/>
        <item x="107"/>
        <item x="225"/>
        <item x="31"/>
        <item x="18"/>
        <item x="356"/>
        <item x="338"/>
        <item x="146"/>
        <item x="80"/>
        <item x="165"/>
        <item x="183"/>
        <item x="329"/>
        <item x="82"/>
        <item x="339"/>
        <item x="340"/>
        <item x="287"/>
        <item x="147"/>
        <item x="306"/>
        <item x="247"/>
        <item x="244"/>
        <item x="251"/>
        <item x="148"/>
        <item x="88"/>
        <item x="90"/>
        <item x="332"/>
        <item x="52"/>
        <item x="295"/>
        <item x="353"/>
        <item x="94"/>
        <item x="92"/>
        <item x="166"/>
        <item x="226"/>
        <item x="99"/>
        <item x="333"/>
        <item x="100"/>
        <item x="149"/>
        <item x="108"/>
        <item x="109"/>
        <item x="120"/>
        <item x="259"/>
        <item x="187"/>
        <item x="28"/>
        <item x="124"/>
        <item x="29"/>
        <item x="126"/>
        <item x="150"/>
        <item x="33"/>
        <item x="219"/>
        <item x="53"/>
        <item x="130"/>
        <item x="307"/>
        <item x="133"/>
        <item x="9"/>
        <item x="135"/>
        <item x="358"/>
        <item x="54"/>
        <item x="55"/>
        <item x="110"/>
        <item x="260"/>
        <item x="234"/>
        <item x="136"/>
        <item x="293"/>
        <item x="84"/>
        <item x="56"/>
        <item x="57"/>
        <item x="23"/>
        <item x="83"/>
        <item x="341"/>
        <item x="123"/>
        <item x="139"/>
        <item x="140"/>
        <item x="20"/>
        <item x="227"/>
        <item x="58"/>
        <item x="71"/>
        <item x="141"/>
        <item x="151"/>
        <item x="195"/>
        <item x="261"/>
        <item x="280"/>
        <item x="73"/>
        <item x="262"/>
        <item x="152"/>
        <item x="156"/>
        <item x="158"/>
        <item x="235"/>
        <item x="160"/>
        <item x="72"/>
        <item x="345"/>
        <item x="168"/>
        <item x="163"/>
        <item x="131"/>
        <item x="174"/>
        <item x="164"/>
        <item x="210"/>
        <item x="113"/>
        <item x="161"/>
        <item x="167"/>
        <item x="172"/>
        <item x="175"/>
        <item x="263"/>
        <item x="61"/>
        <item x="178"/>
        <item x="184"/>
        <item x="62"/>
        <item x="357"/>
        <item x="12"/>
        <item x="137"/>
        <item x="63"/>
        <item x="24"/>
        <item x="169"/>
        <item x="171"/>
        <item x="192"/>
        <item x="264"/>
        <item x="284"/>
        <item x="282"/>
        <item x="285"/>
        <item x="288"/>
        <item x="277"/>
        <item x="308"/>
        <item x="201"/>
        <item x="59"/>
        <item x="125"/>
        <item x="223"/>
        <item x="220"/>
        <item x="85"/>
        <item x="294"/>
        <item x="265"/>
        <item x="47"/>
        <item x="216"/>
        <item x="196"/>
        <item x="203"/>
        <item x="101"/>
        <item x="102"/>
        <item x="188"/>
        <item x="346"/>
        <item x="317"/>
        <item x="49"/>
        <item x="64"/>
        <item x="14"/>
        <item x="96"/>
        <item x="176"/>
        <item x="198"/>
        <item x="191"/>
        <item x="245"/>
        <item x="199"/>
        <item x="276"/>
        <item x="2"/>
        <item x="205"/>
        <item x="266"/>
        <item x="236"/>
        <item x="207"/>
        <item x="221"/>
        <item x="242"/>
        <item x="112"/>
        <item x="267"/>
        <item x="354"/>
        <item x="355"/>
        <item x="86"/>
        <item x="65"/>
        <item x="211"/>
        <item x="212"/>
        <item x="246"/>
        <item x="214"/>
        <item x="309"/>
        <item x="153"/>
        <item x="283"/>
        <item x="268"/>
        <item x="343"/>
        <item x="114"/>
        <item x="173"/>
        <item x="342"/>
        <item x="218"/>
        <item x="181"/>
        <item x="91"/>
        <item x="269"/>
        <item x="159"/>
        <item x="237"/>
        <item x="74"/>
        <item x="222"/>
        <item x="230"/>
        <item x="224"/>
        <item x="200"/>
        <item x="115"/>
        <item x="189"/>
        <item x="327"/>
        <item x="241"/>
        <item x="132"/>
        <item x="243"/>
        <item x="116"/>
        <item x="248"/>
        <item x="249"/>
        <item x="270"/>
        <item x="4"/>
        <item x="239"/>
        <item x="117"/>
        <item x="296"/>
        <item x="238"/>
        <item x="118"/>
        <item x="286"/>
        <item x="145"/>
        <item x="208"/>
        <item x="89"/>
        <item x="97"/>
        <item x="179"/>
        <item x="177"/>
        <item x="252"/>
        <item x="190"/>
        <item x="228"/>
        <item x="311"/>
        <item x="121"/>
        <item x="297"/>
        <item x="240"/>
        <item x="45"/>
        <item x="68"/>
        <item x="298"/>
        <item x="299"/>
        <item x="300"/>
        <item x="301"/>
        <item x="162"/>
        <item x="344"/>
        <item x="314"/>
        <item x="206"/>
        <item x="193"/>
        <item x="34"/>
        <item x="194"/>
        <item x="351"/>
        <item x="302"/>
        <item x="352"/>
        <item x="303"/>
        <item x="326"/>
        <item x="349"/>
        <item x="70"/>
        <item x="67"/>
        <item x="66"/>
        <item x="289"/>
        <item x="111"/>
        <item x="46"/>
        <item x="271"/>
        <item x="318"/>
        <item x="42"/>
        <item x="119"/>
        <item x="30"/>
        <item x="319"/>
        <item x="209"/>
        <item x="320"/>
        <item x="325"/>
        <item x="217"/>
        <item x="321"/>
        <item x="129"/>
        <item x="15"/>
        <item x="322"/>
        <item x="93"/>
        <item x="347"/>
        <item x="138"/>
        <item x="330"/>
        <item x="26"/>
        <item x="202"/>
        <item x="98"/>
        <item x="154"/>
        <item x="312"/>
        <item x="334"/>
        <item x="272"/>
        <item x="335"/>
        <item x="229"/>
        <item x="313"/>
        <item x="273"/>
        <item x="274"/>
        <item x="69"/>
        <item x="180"/>
        <item x="10"/>
        <item x="348"/>
        <item x="275"/>
        <item t="default"/>
      </items>
    </pivotField>
    <pivotField showAll="0"/>
    <pivotField showAll="0"/>
    <pivotField showAll="0"/>
    <pivotField dataField="1" showAll="0">
      <items count="245">
        <item x="49"/>
        <item x="67"/>
        <item x="204"/>
        <item x="107"/>
        <item x="177"/>
        <item x="241"/>
        <item x="56"/>
        <item x="240"/>
        <item x="16"/>
        <item x="239"/>
        <item x="200"/>
        <item x="114"/>
        <item x="44"/>
        <item x="148"/>
        <item x="6"/>
        <item x="145"/>
        <item x="24"/>
        <item x="14"/>
        <item x="216"/>
        <item x="81"/>
        <item x="163"/>
        <item x="225"/>
        <item x="173"/>
        <item x="55"/>
        <item x="18"/>
        <item x="150"/>
        <item x="201"/>
        <item x="86"/>
        <item x="22"/>
        <item x="162"/>
        <item x="161"/>
        <item x="139"/>
        <item x="62"/>
        <item x="68"/>
        <item x="149"/>
        <item x="167"/>
        <item x="188"/>
        <item x="101"/>
        <item x="203"/>
        <item x="132"/>
        <item x="77"/>
        <item x="69"/>
        <item x="63"/>
        <item x="25"/>
        <item x="103"/>
        <item x="109"/>
        <item x="108"/>
        <item x="35"/>
        <item x="131"/>
        <item x="96"/>
        <item x="144"/>
        <item x="43"/>
        <item x="20"/>
        <item x="28"/>
        <item x="159"/>
        <item x="224"/>
        <item x="23"/>
        <item x="166"/>
        <item x="66"/>
        <item x="174"/>
        <item x="160"/>
        <item x="84"/>
        <item x="111"/>
        <item x="202"/>
        <item x="80"/>
        <item x="98"/>
        <item x="192"/>
        <item x="243"/>
        <item x="242"/>
        <item x="26"/>
        <item x="37"/>
        <item x="97"/>
        <item x="184"/>
        <item x="88"/>
        <item x="120"/>
        <item x="133"/>
        <item x="82"/>
        <item x="5"/>
        <item x="141"/>
        <item x="21"/>
        <item x="119"/>
        <item x="143"/>
        <item x="236"/>
        <item x="118"/>
        <item x="3"/>
        <item x="238"/>
        <item x="89"/>
        <item x="151"/>
        <item x="27"/>
        <item x="186"/>
        <item x="70"/>
        <item x="60"/>
        <item x="211"/>
        <item x="8"/>
        <item x="90"/>
        <item x="146"/>
        <item x="226"/>
        <item x="168"/>
        <item x="196"/>
        <item x="106"/>
        <item x="7"/>
        <item x="136"/>
        <item x="65"/>
        <item x="61"/>
        <item x="31"/>
        <item x="94"/>
        <item x="30"/>
        <item x="209"/>
        <item x="75"/>
        <item x="87"/>
        <item x="34"/>
        <item x="64"/>
        <item x="185"/>
        <item x="104"/>
        <item x="122"/>
        <item x="11"/>
        <item x="102"/>
        <item x="47"/>
        <item x="79"/>
        <item x="219"/>
        <item x="175"/>
        <item x="95"/>
        <item x="32"/>
        <item x="137"/>
        <item x="71"/>
        <item x="170"/>
        <item x="110"/>
        <item x="83"/>
        <item x="57"/>
        <item x="124"/>
        <item x="76"/>
        <item x="195"/>
        <item x="85"/>
        <item x="29"/>
        <item x="172"/>
        <item x="99"/>
        <item x="187"/>
        <item x="165"/>
        <item x="164"/>
        <item x="33"/>
        <item x="218"/>
        <item x="179"/>
        <item x="41"/>
        <item x="91"/>
        <item x="116"/>
        <item x="138"/>
        <item x="152"/>
        <item x="147"/>
        <item x="140"/>
        <item x="210"/>
        <item x="40"/>
        <item x="52"/>
        <item x="72"/>
        <item x="39"/>
        <item x="51"/>
        <item x="126"/>
        <item x="112"/>
        <item x="42"/>
        <item x="117"/>
        <item x="142"/>
        <item x="50"/>
        <item x="214"/>
        <item x="0"/>
        <item x="58"/>
        <item x="154"/>
        <item x="113"/>
        <item x="227"/>
        <item x="176"/>
        <item x="74"/>
        <item x="48"/>
        <item x="36"/>
        <item x="1"/>
        <item x="115"/>
        <item x="153"/>
        <item x="135"/>
        <item x="189"/>
        <item x="2"/>
        <item x="134"/>
        <item x="197"/>
        <item x="128"/>
        <item x="129"/>
        <item x="19"/>
        <item x="222"/>
        <item x="93"/>
        <item x="105"/>
        <item x="4"/>
        <item x="130"/>
        <item x="156"/>
        <item x="217"/>
        <item x="78"/>
        <item x="17"/>
        <item x="221"/>
        <item x="213"/>
        <item x="155"/>
        <item x="191"/>
        <item x="53"/>
        <item x="233"/>
        <item x="92"/>
        <item x="158"/>
        <item x="15"/>
        <item x="100"/>
        <item x="73"/>
        <item x="9"/>
        <item x="171"/>
        <item x="231"/>
        <item x="193"/>
        <item x="229"/>
        <item x="59"/>
        <item x="157"/>
        <item x="10"/>
        <item x="13"/>
        <item x="215"/>
        <item x="46"/>
        <item x="182"/>
        <item x="199"/>
        <item x="180"/>
        <item x="38"/>
        <item x="228"/>
        <item x="12"/>
        <item x="234"/>
        <item x="208"/>
        <item x="125"/>
        <item x="183"/>
        <item x="54"/>
        <item x="45"/>
        <item x="230"/>
        <item x="237"/>
        <item x="181"/>
        <item x="127"/>
        <item x="220"/>
        <item x="178"/>
        <item x="123"/>
        <item x="205"/>
        <item x="169"/>
        <item x="121"/>
        <item x="235"/>
        <item x="190"/>
        <item x="198"/>
        <item x="194"/>
        <item x="212"/>
        <item x="223"/>
        <item x="232"/>
        <item x="206"/>
        <item x="207"/>
        <item t="default"/>
      </items>
    </pivotField>
    <pivotField showAll="0"/>
    <pivotField showAll="0"/>
    <pivotField showAll="0"/>
    <pivotField showAll="0"/>
    <pivotField showAll="0"/>
    <pivotField showAll="0">
      <items count="107">
        <item x="103"/>
        <item x="83"/>
        <item x="91"/>
        <item x="88"/>
        <item x="85"/>
        <item x="51"/>
        <item x="87"/>
        <item x="52"/>
        <item x="86"/>
        <item x="12"/>
        <item x="84"/>
        <item x="30"/>
        <item x="46"/>
        <item x="105"/>
        <item x="40"/>
        <item x="89"/>
        <item x="104"/>
        <item x="16"/>
        <item x="45"/>
        <item x="38"/>
        <item x="56"/>
        <item x="72"/>
        <item x="82"/>
        <item x="34"/>
        <item x="57"/>
        <item x="65"/>
        <item x="44"/>
        <item x="21"/>
        <item x="33"/>
        <item x="59"/>
        <item x="32"/>
        <item x="61"/>
        <item x="26"/>
        <item x="62"/>
        <item x="60"/>
        <item x="50"/>
        <item x="17"/>
        <item x="68"/>
        <item x="24"/>
        <item x="73"/>
        <item x="28"/>
        <item x="18"/>
        <item x="4"/>
        <item x="8"/>
        <item x="1"/>
        <item x="48"/>
        <item x="42"/>
        <item x="20"/>
        <item x="6"/>
        <item x="22"/>
        <item x="0"/>
        <item x="9"/>
        <item x="74"/>
        <item x="5"/>
        <item x="70"/>
        <item x="7"/>
        <item x="71"/>
        <item x="15"/>
        <item x="63"/>
        <item x="49"/>
        <item x="36"/>
        <item x="25"/>
        <item x="3"/>
        <item x="69"/>
        <item x="43"/>
        <item x="19"/>
        <item x="10"/>
        <item x="29"/>
        <item x="79"/>
        <item x="75"/>
        <item x="78"/>
        <item x="39"/>
        <item x="23"/>
        <item x="27"/>
        <item x="13"/>
        <item x="31"/>
        <item x="47"/>
        <item x="95"/>
        <item x="77"/>
        <item x="102"/>
        <item x="66"/>
        <item x="67"/>
        <item x="2"/>
        <item x="81"/>
        <item x="54"/>
        <item x="90"/>
        <item x="101"/>
        <item x="99"/>
        <item x="11"/>
        <item x="64"/>
        <item x="58"/>
        <item x="53"/>
        <item x="92"/>
        <item x="98"/>
        <item x="55"/>
        <item x="76"/>
        <item x="93"/>
        <item x="97"/>
        <item x="100"/>
        <item x="41"/>
        <item x="96"/>
        <item x="94"/>
        <item x="37"/>
        <item x="80"/>
        <item x="14"/>
        <item x="35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Valid Tests" fld="5" subtotal="average" baseField="1" baseItem="31"/>
  </dataFields>
  <formats count="10">
    <format dxfId="9">
      <pivotArea outline="0" collapsedLevelsAreSubtotals="1" fieldPosition="0"/>
    </format>
    <format dxfId="8">
      <pivotArea field="1" type="button" dataOnly="0" labelOnly="1" outline="0"/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/>
    </format>
    <format dxfId="3">
      <pivotArea field="1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1">
            <x v="0"/>
          </reference>
          <reference field="14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0"/>
          </reference>
          <reference field="14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4294967294" count="1">
            <x v="0"/>
          </reference>
          <reference field="1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8"/>
  <sheetViews>
    <sheetView zoomScaleNormal="100" workbookViewId="0">
      <selection activeCell="C2" sqref="C2"/>
    </sheetView>
  </sheetViews>
  <sheetFormatPr defaultColWidth="8.54296875" defaultRowHeight="14.5" x14ac:dyDescent="0.35"/>
  <cols>
    <col min="1" max="1" width="9.81640625" customWidth="1"/>
    <col min="2" max="2" width="51.08984375" customWidth="1"/>
    <col min="3" max="3" width="15.7265625" customWidth="1"/>
    <col min="4" max="4" width="42.453125" customWidth="1"/>
    <col min="5" max="5" width="11.54296875" customWidth="1"/>
    <col min="6" max="6" width="10.453125" customWidth="1"/>
    <col min="7" max="7" width="16.81640625" customWidth="1"/>
    <col min="8" max="8" width="20.453125" customWidth="1"/>
    <col min="9" max="9" width="19" customWidth="1"/>
    <col min="10" max="10" width="21.54296875" customWidth="1"/>
    <col min="11" max="11" width="20.81640625" customWidth="1"/>
    <col min="12" max="12" width="23.81640625" customWidth="1"/>
    <col min="13" max="13" width="27" customWidth="1"/>
    <col min="14" max="14" width="24.1796875" customWidth="1"/>
    <col min="15" max="15" width="28" customWidth="1"/>
    <col min="16" max="16" width="19.26953125" customWidth="1"/>
    <col min="17" max="17" width="2.81640625" bestFit="1" customWidth="1"/>
    <col min="18" max="18" width="6.1796875" bestFit="1" customWidth="1"/>
    <col min="19" max="19" width="15.1796875" bestFit="1" customWidth="1"/>
    <col min="20" max="20" width="20.08984375" customWidth="1"/>
  </cols>
  <sheetData>
    <row r="1" spans="1:20" s="3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20" x14ac:dyDescent="0.35">
      <c r="A2" s="5" t="s">
        <v>16</v>
      </c>
      <c r="B2" s="5" t="str">
        <f>VLOOKUP(A2,schools!A2:B1750,2,FALSE)</f>
        <v>Anderson County High School</v>
      </c>
      <c r="C2" s="5" t="str">
        <f>VLOOKUP(A2,schools!A2:F1750,5,FALSE)</f>
        <v>Clinton</v>
      </c>
      <c r="D2" s="5" t="s">
        <v>17</v>
      </c>
      <c r="E2" s="5" t="s">
        <v>18</v>
      </c>
      <c r="F2" s="5">
        <v>239</v>
      </c>
      <c r="G2" s="5">
        <v>100</v>
      </c>
      <c r="H2" s="5">
        <v>19.100000000000001</v>
      </c>
      <c r="I2" s="5">
        <v>19.2</v>
      </c>
      <c r="J2" s="5">
        <v>20</v>
      </c>
      <c r="K2" s="5">
        <v>20.100000000000001</v>
      </c>
      <c r="L2" s="5">
        <v>19.7</v>
      </c>
      <c r="M2" s="5">
        <v>99</v>
      </c>
      <c r="N2" s="5">
        <v>103</v>
      </c>
      <c r="O2" s="5" t="str">
        <f>IFERROR(VLOOKUP(L2,$Q$2:$S$4,3,TRUE), "Score Not Available")</f>
        <v>Below 20</v>
      </c>
      <c r="P2" s="5" t="str">
        <f>IFERROR(IF(MIN(H2,I2,J2,K2)&gt;20,"All at least 20", "Not all at least 20"),"Scores Not Available")</f>
        <v>Not all at least 20</v>
      </c>
      <c r="Q2" s="5">
        <v>0</v>
      </c>
      <c r="R2" s="5" t="s">
        <v>5684</v>
      </c>
      <c r="S2" s="5" t="s">
        <v>5685</v>
      </c>
    </row>
    <row r="3" spans="1:20" x14ac:dyDescent="0.35">
      <c r="A3" s="5" t="s">
        <v>19</v>
      </c>
      <c r="B3" s="5" t="str">
        <f>VLOOKUP(A3,schools!A3:B1751,2,FALSE)</f>
        <v>Clinton High School</v>
      </c>
      <c r="C3" s="5" t="str">
        <f>VLOOKUP(A3,schools!A3:F1751,5,FALSE)</f>
        <v>Clinton</v>
      </c>
      <c r="D3" s="5" t="s">
        <v>17</v>
      </c>
      <c r="E3" s="5" t="s">
        <v>18</v>
      </c>
      <c r="F3" s="5">
        <v>266</v>
      </c>
      <c r="G3" s="5">
        <v>95</v>
      </c>
      <c r="H3" s="5">
        <v>18.5</v>
      </c>
      <c r="I3" s="5">
        <v>18.600000000000001</v>
      </c>
      <c r="J3" s="5">
        <v>19.7</v>
      </c>
      <c r="K3" s="5">
        <v>19.399999999999999</v>
      </c>
      <c r="L3" s="5">
        <v>19.100000000000001</v>
      </c>
      <c r="M3" s="5">
        <v>92</v>
      </c>
      <c r="N3" s="5">
        <v>146</v>
      </c>
      <c r="O3" s="5" t="str">
        <f t="shared" ref="O3:O66" si="0">IFERROR(VLOOKUP(L3,$Q$2:$S$4,3,TRUE), "Score Not Available")</f>
        <v>Below 20</v>
      </c>
      <c r="P3" s="5" t="str">
        <f t="shared" ref="P3:P66" si="1">IFERROR(IF(MIN(H3,I3,J3,K3)&gt;20,"All at least 20", "Not all at least 20"),"Scores Not Available")</f>
        <v>Not all at least 20</v>
      </c>
      <c r="Q3" s="5">
        <v>20</v>
      </c>
      <c r="R3" s="5" t="s">
        <v>5686</v>
      </c>
      <c r="S3" s="5" t="s">
        <v>5687</v>
      </c>
    </row>
    <row r="4" spans="1:20" ht="29" x14ac:dyDescent="0.35">
      <c r="A4" s="5" t="s">
        <v>20</v>
      </c>
      <c r="B4" s="5" t="str">
        <f>VLOOKUP(A4,schools!A4:B1752,2,FALSE)</f>
        <v>Oak Ridge High School</v>
      </c>
      <c r="C4" s="5" t="str">
        <f>VLOOKUP(A4,schools!A4:F1752,5,FALSE)</f>
        <v>Oak Ridge</v>
      </c>
      <c r="D4" s="5" t="s">
        <v>21</v>
      </c>
      <c r="E4" s="5" t="s">
        <v>18</v>
      </c>
      <c r="F4" s="5">
        <v>277</v>
      </c>
      <c r="G4" s="5">
        <v>100</v>
      </c>
      <c r="H4" s="5">
        <v>23.5</v>
      </c>
      <c r="I4" s="5">
        <v>22.1</v>
      </c>
      <c r="J4" s="5">
        <v>24.1</v>
      </c>
      <c r="K4" s="5">
        <v>22.9</v>
      </c>
      <c r="L4" s="5">
        <v>23.3</v>
      </c>
      <c r="M4" s="5">
        <v>182</v>
      </c>
      <c r="N4" s="5">
        <v>64</v>
      </c>
      <c r="O4" s="5" t="str">
        <f t="shared" si="0"/>
        <v>At least 20</v>
      </c>
      <c r="P4" s="5" t="str">
        <f t="shared" si="1"/>
        <v>All at least 20</v>
      </c>
      <c r="Q4" s="5"/>
      <c r="R4" s="5" t="s">
        <v>5689</v>
      </c>
      <c r="S4" s="5" t="s">
        <v>5688</v>
      </c>
      <c r="T4" s="25" t="s">
        <v>5690</v>
      </c>
    </row>
    <row r="5" spans="1:20" x14ac:dyDescent="0.35">
      <c r="A5" s="5" t="s">
        <v>22</v>
      </c>
      <c r="B5" s="5" t="str">
        <f>VLOOKUP(A5,schools!A5:B1753,2,FALSE)</f>
        <v>Cascade High School</v>
      </c>
      <c r="C5" s="5" t="str">
        <f>VLOOKUP(A5,schools!A5:F1753,5,FALSE)</f>
        <v>Wartrace</v>
      </c>
      <c r="D5" s="5" t="s">
        <v>23</v>
      </c>
      <c r="E5" s="5" t="s">
        <v>18</v>
      </c>
      <c r="F5" s="5">
        <v>112</v>
      </c>
      <c r="G5" s="5">
        <v>99</v>
      </c>
      <c r="H5" s="5">
        <v>20.3</v>
      </c>
      <c r="I5" s="5">
        <v>19.899999999999999</v>
      </c>
      <c r="J5" s="5">
        <v>21.9</v>
      </c>
      <c r="K5" s="5">
        <v>20.9</v>
      </c>
      <c r="L5" s="5">
        <v>20.9</v>
      </c>
      <c r="M5" s="5">
        <v>58</v>
      </c>
      <c r="N5" s="5">
        <v>35</v>
      </c>
      <c r="O5" s="5" t="str">
        <f t="shared" si="0"/>
        <v>At least 20</v>
      </c>
      <c r="P5" s="5" t="str">
        <f t="shared" si="1"/>
        <v>Not all at least 20</v>
      </c>
    </row>
    <row r="6" spans="1:20" x14ac:dyDescent="0.35">
      <c r="A6" s="5" t="s">
        <v>24</v>
      </c>
      <c r="B6" s="5" t="str">
        <f>VLOOKUP(A6,schools!A6:B1754,2,FALSE)</f>
        <v>Shelbyville Central High School</v>
      </c>
      <c r="C6" s="5" t="str">
        <f>VLOOKUP(A6,schools!A6:F1754,5,FALSE)</f>
        <v>Shelbyville</v>
      </c>
      <c r="D6" s="5" t="s">
        <v>23</v>
      </c>
      <c r="E6" s="5" t="s">
        <v>18</v>
      </c>
      <c r="F6" s="5">
        <v>296</v>
      </c>
      <c r="G6" s="5">
        <v>99</v>
      </c>
      <c r="H6" s="5">
        <v>17.8</v>
      </c>
      <c r="I6" s="5">
        <v>18.5</v>
      </c>
      <c r="J6" s="5">
        <v>19.2</v>
      </c>
      <c r="K6" s="5">
        <v>19.2</v>
      </c>
      <c r="L6" s="5">
        <v>18.899999999999999</v>
      </c>
      <c r="M6" s="5">
        <v>89</v>
      </c>
      <c r="N6" s="5">
        <v>166</v>
      </c>
      <c r="O6" s="5" t="str">
        <f t="shared" si="0"/>
        <v>Below 20</v>
      </c>
      <c r="P6" s="5" t="str">
        <f t="shared" si="1"/>
        <v>Not all at least 20</v>
      </c>
    </row>
    <row r="7" spans="1:20" x14ac:dyDescent="0.35">
      <c r="A7" s="5" t="s">
        <v>25</v>
      </c>
      <c r="B7" s="5" t="str">
        <f>VLOOKUP(A7,schools!A7:B1755,2,FALSE)</f>
        <v>Community High School</v>
      </c>
      <c r="C7" s="5" t="str">
        <f>VLOOKUP(A7,schools!A7:F1755,5,FALSE)</f>
        <v>Unionville</v>
      </c>
      <c r="D7" s="5" t="s">
        <v>23</v>
      </c>
      <c r="E7" s="5" t="s">
        <v>18</v>
      </c>
      <c r="F7" s="5">
        <v>102</v>
      </c>
      <c r="G7" s="5">
        <v>99</v>
      </c>
      <c r="H7" s="5">
        <v>19.5</v>
      </c>
      <c r="I7" s="5">
        <v>18.5</v>
      </c>
      <c r="J7" s="5">
        <v>20.7</v>
      </c>
      <c r="K7" s="5">
        <v>20.6</v>
      </c>
      <c r="L7" s="5">
        <v>20</v>
      </c>
      <c r="M7" s="5">
        <v>36</v>
      </c>
      <c r="N7" s="5">
        <v>40</v>
      </c>
      <c r="O7" s="5" t="str">
        <f t="shared" si="0"/>
        <v>At least 20</v>
      </c>
      <c r="P7" s="5" t="str">
        <f t="shared" si="1"/>
        <v>Not all at least 20</v>
      </c>
    </row>
    <row r="8" spans="1:20" x14ac:dyDescent="0.35">
      <c r="A8" s="5" t="s">
        <v>26</v>
      </c>
      <c r="B8" s="5" t="str">
        <f>VLOOKUP(A8,schools!A8:B1756,2,FALSE)</f>
        <v>Big Sandy School</v>
      </c>
      <c r="C8" s="5" t="str">
        <f>VLOOKUP(A8,schools!A8:F1756,5,FALSE)</f>
        <v>Big Sandy</v>
      </c>
      <c r="D8" s="5" t="s">
        <v>27</v>
      </c>
      <c r="E8" s="5" t="s">
        <v>18</v>
      </c>
      <c r="F8" s="5">
        <v>21</v>
      </c>
      <c r="G8" s="5">
        <v>95</v>
      </c>
      <c r="H8" s="5">
        <v>17.8</v>
      </c>
      <c r="I8" s="5">
        <v>18.7</v>
      </c>
      <c r="J8" s="5">
        <v>20.399999999999999</v>
      </c>
      <c r="K8" s="5">
        <v>20.5</v>
      </c>
      <c r="L8" s="5">
        <v>19.5</v>
      </c>
      <c r="M8" s="5">
        <v>10</v>
      </c>
      <c r="N8" s="5">
        <v>8</v>
      </c>
      <c r="O8" s="5" t="str">
        <f t="shared" si="0"/>
        <v>Below 20</v>
      </c>
      <c r="P8" s="5" t="str">
        <f t="shared" si="1"/>
        <v>Not all at least 20</v>
      </c>
    </row>
    <row r="9" spans="1:20" x14ac:dyDescent="0.35">
      <c r="A9" s="5" t="s">
        <v>28</v>
      </c>
      <c r="B9" s="5" t="str">
        <f>VLOOKUP(A9,schools!A9:B1757,2,FALSE)</f>
        <v>Camden Central High School</v>
      </c>
      <c r="C9" s="5" t="str">
        <f>VLOOKUP(A9,schools!A9:F1757,5,FALSE)</f>
        <v>Camden</v>
      </c>
      <c r="D9" s="5" t="s">
        <v>27</v>
      </c>
      <c r="E9" s="5" t="s">
        <v>18</v>
      </c>
      <c r="F9" s="5">
        <v>136</v>
      </c>
      <c r="G9" s="5">
        <v>95</v>
      </c>
      <c r="H9" s="5">
        <v>20</v>
      </c>
      <c r="I9" s="5">
        <v>19.399999999999999</v>
      </c>
      <c r="J9" s="5">
        <v>20.5</v>
      </c>
      <c r="K9" s="5">
        <v>20.2</v>
      </c>
      <c r="L9" s="5">
        <v>20.2</v>
      </c>
      <c r="M9" s="5">
        <v>63</v>
      </c>
      <c r="N9" s="5">
        <v>55</v>
      </c>
      <c r="O9" s="5" t="str">
        <f t="shared" si="0"/>
        <v>At least 20</v>
      </c>
      <c r="P9" s="5" t="str">
        <f t="shared" si="1"/>
        <v>Not all at least 20</v>
      </c>
    </row>
    <row r="10" spans="1:20" x14ac:dyDescent="0.35">
      <c r="A10" s="5" t="s">
        <v>29</v>
      </c>
      <c r="B10" s="5" t="str">
        <f>VLOOKUP(A10,schools!A10:B1758,2,FALSE)</f>
        <v>Bledsoe County High School</v>
      </c>
      <c r="C10" s="5" t="str">
        <f>VLOOKUP(A10,schools!A10:F1758,5,FALSE)</f>
        <v>Pikeville</v>
      </c>
      <c r="D10" s="5" t="s">
        <v>30</v>
      </c>
      <c r="E10" s="5" t="s">
        <v>18</v>
      </c>
      <c r="F10" s="5">
        <v>124</v>
      </c>
      <c r="G10" s="5">
        <v>98</v>
      </c>
      <c r="H10" s="5">
        <v>17.8</v>
      </c>
      <c r="I10" s="5">
        <v>19.3</v>
      </c>
      <c r="J10" s="5">
        <v>19.100000000000001</v>
      </c>
      <c r="K10" s="5">
        <v>19.3</v>
      </c>
      <c r="L10" s="5">
        <v>19</v>
      </c>
      <c r="M10" s="5">
        <v>39</v>
      </c>
      <c r="N10" s="5">
        <v>62</v>
      </c>
      <c r="O10" s="5" t="str">
        <f t="shared" si="0"/>
        <v>Below 20</v>
      </c>
      <c r="P10" s="5" t="str">
        <f t="shared" si="1"/>
        <v>Not all at least 20</v>
      </c>
    </row>
    <row r="11" spans="1:20" x14ac:dyDescent="0.35">
      <c r="A11" s="5" t="s">
        <v>31</v>
      </c>
      <c r="B11" s="5" t="str">
        <f>VLOOKUP(A11,schools!A11:B1759,2,FALSE)</f>
        <v>Heritage High School</v>
      </c>
      <c r="C11" s="5" t="str">
        <f>VLOOKUP(A11,schools!A11:F1759,5,FALSE)</f>
        <v>Maryville</v>
      </c>
      <c r="D11" s="5" t="s">
        <v>32</v>
      </c>
      <c r="E11" s="5" t="s">
        <v>18</v>
      </c>
      <c r="F11" s="5">
        <v>348</v>
      </c>
      <c r="G11" s="5">
        <v>96</v>
      </c>
      <c r="H11" s="5">
        <v>18.399999999999999</v>
      </c>
      <c r="I11" s="5">
        <v>18.7</v>
      </c>
      <c r="J11" s="5">
        <v>19.100000000000001</v>
      </c>
      <c r="K11" s="5">
        <v>18.8</v>
      </c>
      <c r="L11" s="5">
        <v>18.899999999999999</v>
      </c>
      <c r="M11" s="5">
        <v>115</v>
      </c>
      <c r="N11" s="5">
        <v>171</v>
      </c>
      <c r="O11" s="5" t="str">
        <f t="shared" si="0"/>
        <v>Below 20</v>
      </c>
      <c r="P11" s="5" t="str">
        <f t="shared" si="1"/>
        <v>Not all at least 20</v>
      </c>
    </row>
    <row r="12" spans="1:20" x14ac:dyDescent="0.35">
      <c r="A12" s="5" t="s">
        <v>33</v>
      </c>
      <c r="B12" s="5" t="str">
        <f>VLOOKUP(A12,schools!A12:B1760,2,FALSE)</f>
        <v>William Blount High School</v>
      </c>
      <c r="C12" s="5" t="str">
        <f>VLOOKUP(A12,schools!A12:F1760,5,FALSE)</f>
        <v>Maryville</v>
      </c>
      <c r="D12" s="5" t="s">
        <v>32</v>
      </c>
      <c r="E12" s="5" t="s">
        <v>18</v>
      </c>
      <c r="F12" s="5">
        <v>381</v>
      </c>
      <c r="G12" s="5">
        <v>98</v>
      </c>
      <c r="H12" s="5">
        <v>19.5</v>
      </c>
      <c r="I12" s="5">
        <v>19.399999999999999</v>
      </c>
      <c r="J12" s="5">
        <v>20.2</v>
      </c>
      <c r="K12" s="5">
        <v>19.600000000000001</v>
      </c>
      <c r="L12" s="5">
        <v>19.8</v>
      </c>
      <c r="M12" s="5">
        <v>156</v>
      </c>
      <c r="N12" s="5">
        <v>180</v>
      </c>
      <c r="O12" s="5" t="str">
        <f t="shared" si="0"/>
        <v>Below 20</v>
      </c>
      <c r="P12" s="5" t="str">
        <f t="shared" si="1"/>
        <v>Not all at least 20</v>
      </c>
    </row>
    <row r="13" spans="1:20" x14ac:dyDescent="0.35">
      <c r="A13" s="5" t="s">
        <v>34</v>
      </c>
      <c r="B13" s="5" t="str">
        <f>VLOOKUP(A13,schools!A13:B1761,2,FALSE)</f>
        <v>Alcoa High School</v>
      </c>
      <c r="C13" s="5" t="str">
        <f>VLOOKUP(A13,schools!A13:F1761,5,FALSE)</f>
        <v>Alcoa</v>
      </c>
      <c r="D13" s="5" t="s">
        <v>35</v>
      </c>
      <c r="E13" s="5" t="s">
        <v>18</v>
      </c>
      <c r="F13" s="5">
        <v>157</v>
      </c>
      <c r="G13" s="5">
        <v>99</v>
      </c>
      <c r="H13" s="5">
        <v>21.7</v>
      </c>
      <c r="I13" s="5">
        <v>20.399999999999999</v>
      </c>
      <c r="J13" s="5">
        <v>21.7</v>
      </c>
      <c r="K13" s="5">
        <v>20.8</v>
      </c>
      <c r="L13" s="5">
        <v>21.3</v>
      </c>
      <c r="M13" s="5">
        <v>87</v>
      </c>
      <c r="N13" s="5">
        <v>51</v>
      </c>
      <c r="O13" s="5" t="str">
        <f t="shared" si="0"/>
        <v>At least 20</v>
      </c>
      <c r="P13" s="5" t="str">
        <f t="shared" si="1"/>
        <v>All at least 20</v>
      </c>
    </row>
    <row r="14" spans="1:20" x14ac:dyDescent="0.35">
      <c r="A14" s="5" t="s">
        <v>36</v>
      </c>
      <c r="B14" s="5" t="str">
        <f>VLOOKUP(A14,schools!A14:B1762,2,FALSE)</f>
        <v>Maryville High School</v>
      </c>
      <c r="C14" s="5" t="str">
        <f>VLOOKUP(A14,schools!A14:F1762,5,FALSE)</f>
        <v>Maryville</v>
      </c>
      <c r="D14" s="5" t="s">
        <v>37</v>
      </c>
      <c r="E14" s="5" t="s">
        <v>18</v>
      </c>
      <c r="F14" s="5">
        <v>420</v>
      </c>
      <c r="G14" s="5">
        <v>99</v>
      </c>
      <c r="H14" s="5">
        <v>24.1</v>
      </c>
      <c r="I14" s="5">
        <v>23.5</v>
      </c>
      <c r="J14" s="5">
        <v>24.8</v>
      </c>
      <c r="K14" s="5">
        <v>24.1</v>
      </c>
      <c r="L14" s="5">
        <v>24.3</v>
      </c>
      <c r="M14" s="5">
        <v>301</v>
      </c>
      <c r="N14" s="5">
        <v>73</v>
      </c>
      <c r="O14" s="5" t="str">
        <f t="shared" si="0"/>
        <v>At least 20</v>
      </c>
      <c r="P14" s="5" t="str">
        <f t="shared" si="1"/>
        <v>All at least 20</v>
      </c>
    </row>
    <row r="15" spans="1:20" x14ac:dyDescent="0.35">
      <c r="A15" s="5" t="s">
        <v>38</v>
      </c>
      <c r="B15" s="5" t="str">
        <f>VLOOKUP(A15,schools!A15:B1763,2,FALSE)</f>
        <v>Bradley Central High School</v>
      </c>
      <c r="C15" s="5" t="str">
        <f>VLOOKUP(A15,schools!A15:F1763,5,FALSE)</f>
        <v>Cleveland</v>
      </c>
      <c r="D15" s="5" t="s">
        <v>39</v>
      </c>
      <c r="E15" s="5" t="s">
        <v>18</v>
      </c>
      <c r="F15" s="5">
        <v>382</v>
      </c>
      <c r="G15" s="5">
        <v>100</v>
      </c>
      <c r="H15" s="5">
        <v>18.899999999999999</v>
      </c>
      <c r="I15" s="5">
        <v>18.5</v>
      </c>
      <c r="J15" s="5">
        <v>20.100000000000001</v>
      </c>
      <c r="K15" s="5">
        <v>19.899999999999999</v>
      </c>
      <c r="L15" s="5">
        <v>19.5</v>
      </c>
      <c r="M15" s="5">
        <v>147</v>
      </c>
      <c r="N15" s="5">
        <v>166</v>
      </c>
      <c r="O15" s="5" t="str">
        <f t="shared" si="0"/>
        <v>Below 20</v>
      </c>
      <c r="P15" s="5" t="str">
        <f t="shared" si="1"/>
        <v>Not all at least 20</v>
      </c>
    </row>
    <row r="16" spans="1:20" x14ac:dyDescent="0.35">
      <c r="A16" s="5" t="s">
        <v>40</v>
      </c>
      <c r="B16" s="5" t="str">
        <f>VLOOKUP(A16,schools!A16:B1764,2,FALSE)</f>
        <v>North Cleveland GOAL Academy</v>
      </c>
      <c r="C16" s="5" t="str">
        <f>VLOOKUP(A16,schools!A16:F1764,5,FALSE)</f>
        <v>Cleveland</v>
      </c>
      <c r="D16" s="5" t="s">
        <v>39</v>
      </c>
      <c r="E16" s="5" t="s">
        <v>18</v>
      </c>
      <c r="F16" s="5">
        <v>27</v>
      </c>
      <c r="G16" s="5">
        <v>100</v>
      </c>
      <c r="H16" s="5">
        <v>13.8</v>
      </c>
      <c r="I16" s="5">
        <v>16.100000000000001</v>
      </c>
      <c r="J16" s="5">
        <v>15.2</v>
      </c>
      <c r="K16" s="5">
        <v>15</v>
      </c>
      <c r="L16" s="5">
        <v>15.1</v>
      </c>
      <c r="M16" s="5" t="s">
        <v>41</v>
      </c>
      <c r="N16" s="5" t="s">
        <v>41</v>
      </c>
      <c r="O16" s="5" t="str">
        <f t="shared" si="0"/>
        <v>Below 20</v>
      </c>
      <c r="P16" s="5" t="str">
        <f t="shared" si="1"/>
        <v>Not all at least 20</v>
      </c>
    </row>
    <row r="17" spans="1:16" x14ac:dyDescent="0.35">
      <c r="A17" s="5" t="s">
        <v>42</v>
      </c>
      <c r="B17" s="5" t="str">
        <f>VLOOKUP(A17,schools!A17:B1765,2,FALSE)</f>
        <v>Walker Valley High School</v>
      </c>
      <c r="C17" s="5" t="str">
        <f>VLOOKUP(A17,schools!A17:F1765,5,FALSE)</f>
        <v>Cleveland</v>
      </c>
      <c r="D17" s="5" t="s">
        <v>39</v>
      </c>
      <c r="E17" s="5" t="s">
        <v>18</v>
      </c>
      <c r="F17" s="5">
        <v>336</v>
      </c>
      <c r="G17" s="5">
        <v>100</v>
      </c>
      <c r="H17" s="5">
        <v>22.1</v>
      </c>
      <c r="I17" s="5">
        <v>21</v>
      </c>
      <c r="J17" s="5">
        <v>22.8</v>
      </c>
      <c r="K17" s="5">
        <v>21.9</v>
      </c>
      <c r="L17" s="5">
        <v>22.1</v>
      </c>
      <c r="M17" s="5">
        <v>201</v>
      </c>
      <c r="N17" s="5">
        <v>91</v>
      </c>
      <c r="O17" s="5" t="str">
        <f t="shared" si="0"/>
        <v>At least 20</v>
      </c>
      <c r="P17" s="5" t="str">
        <f t="shared" si="1"/>
        <v>All at least 20</v>
      </c>
    </row>
    <row r="18" spans="1:16" x14ac:dyDescent="0.35">
      <c r="A18" s="5" t="s">
        <v>43</v>
      </c>
      <c r="B18" s="5" t="str">
        <f>VLOOKUP(A18,schools!A18:B1766,2,FALSE)</f>
        <v>Bradley County Virtual School</v>
      </c>
      <c r="C18" s="5" t="str">
        <f>VLOOKUP(A18,schools!A18:F1766,5,FALSE)</f>
        <v>Cleveland</v>
      </c>
      <c r="D18" s="5" t="s">
        <v>39</v>
      </c>
      <c r="E18" s="5" t="s">
        <v>18</v>
      </c>
      <c r="F18" s="5">
        <v>9</v>
      </c>
      <c r="G18" s="5" t="s">
        <v>44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44</v>
      </c>
      <c r="M18" s="5" t="s">
        <v>44</v>
      </c>
      <c r="N18" s="5" t="s">
        <v>44</v>
      </c>
      <c r="O18" s="5" t="str">
        <f t="shared" si="0"/>
        <v>Score Not Available</v>
      </c>
      <c r="P18" s="5" t="str">
        <f t="shared" si="1"/>
        <v>Not all at least 20</v>
      </c>
    </row>
    <row r="19" spans="1:16" x14ac:dyDescent="0.35">
      <c r="A19" s="5" t="s">
        <v>45</v>
      </c>
      <c r="B19" s="5" t="str">
        <f>VLOOKUP(A19,schools!A19:B1767,2,FALSE)</f>
        <v>Cleveland High</v>
      </c>
      <c r="C19" s="5" t="str">
        <f>VLOOKUP(A19,schools!A19:F1767,5,FALSE)</f>
        <v>Cleveland</v>
      </c>
      <c r="D19" s="5" t="s">
        <v>46</v>
      </c>
      <c r="E19" s="5" t="s">
        <v>18</v>
      </c>
      <c r="F19" s="5">
        <v>314</v>
      </c>
      <c r="G19" s="5">
        <v>96</v>
      </c>
      <c r="H19" s="5">
        <v>19.600000000000001</v>
      </c>
      <c r="I19" s="5">
        <v>19.600000000000001</v>
      </c>
      <c r="J19" s="5">
        <v>21.2</v>
      </c>
      <c r="K19" s="5">
        <v>20.7</v>
      </c>
      <c r="L19" s="5">
        <v>20.399999999999999</v>
      </c>
      <c r="M19" s="5">
        <v>141</v>
      </c>
      <c r="N19" s="5">
        <v>129</v>
      </c>
      <c r="O19" s="5" t="str">
        <f t="shared" si="0"/>
        <v>At least 20</v>
      </c>
      <c r="P19" s="5" t="str">
        <f t="shared" si="1"/>
        <v>Not all at least 20</v>
      </c>
    </row>
    <row r="20" spans="1:16" x14ac:dyDescent="0.35">
      <c r="A20" s="5" t="s">
        <v>47</v>
      </c>
      <c r="B20" s="5" t="str">
        <f>VLOOKUP(A20,schools!A20:B1768,2,FALSE)</f>
        <v>F.I. Denning Center of Technology and Careers</v>
      </c>
      <c r="C20" s="5" t="str">
        <f>VLOOKUP(A20,schools!A20:F1768,5,FALSE)</f>
        <v>Cleveland</v>
      </c>
      <c r="D20" s="5" t="s">
        <v>46</v>
      </c>
      <c r="E20" s="5" t="s">
        <v>18</v>
      </c>
      <c r="F20" s="5">
        <v>35</v>
      </c>
      <c r="G20" s="5">
        <v>100</v>
      </c>
      <c r="H20" s="5">
        <v>14.6</v>
      </c>
      <c r="I20" s="5">
        <v>17</v>
      </c>
      <c r="J20" s="5">
        <v>15.2</v>
      </c>
      <c r="K20" s="5">
        <v>15.9</v>
      </c>
      <c r="L20" s="5">
        <v>15.9</v>
      </c>
      <c r="M20" s="5">
        <v>3</v>
      </c>
      <c r="N20" s="5">
        <v>29</v>
      </c>
      <c r="O20" s="5" t="str">
        <f t="shared" si="0"/>
        <v>Below 20</v>
      </c>
      <c r="P20" s="5" t="str">
        <f t="shared" si="1"/>
        <v>Not all at least 20</v>
      </c>
    </row>
    <row r="21" spans="1:16" x14ac:dyDescent="0.35">
      <c r="A21" s="5" t="s">
        <v>48</v>
      </c>
      <c r="B21" s="5" t="str">
        <f>VLOOKUP(A21,schools!A21:B1769,2,FALSE)</f>
        <v>Campbell County Comprehensive High School</v>
      </c>
      <c r="C21" s="5" t="str">
        <f>VLOOKUP(A21,schools!A21:F1769,5,FALSE)</f>
        <v>Jacksboro</v>
      </c>
      <c r="D21" s="5" t="s">
        <v>49</v>
      </c>
      <c r="E21" s="5" t="s">
        <v>18</v>
      </c>
      <c r="F21" s="5">
        <v>285</v>
      </c>
      <c r="G21" s="5">
        <v>92</v>
      </c>
      <c r="H21" s="5">
        <v>17.5</v>
      </c>
      <c r="I21" s="5">
        <v>17.3</v>
      </c>
      <c r="J21" s="5">
        <v>19.3</v>
      </c>
      <c r="K21" s="5">
        <v>18.600000000000001</v>
      </c>
      <c r="L21" s="5">
        <v>18.3</v>
      </c>
      <c r="M21" s="5">
        <v>78</v>
      </c>
      <c r="N21" s="5">
        <v>160</v>
      </c>
      <c r="O21" s="5" t="str">
        <f t="shared" si="0"/>
        <v>Below 20</v>
      </c>
      <c r="P21" s="5" t="str">
        <f t="shared" si="1"/>
        <v>Not all at least 20</v>
      </c>
    </row>
    <row r="22" spans="1:16" x14ac:dyDescent="0.35">
      <c r="A22" s="5" t="s">
        <v>50</v>
      </c>
      <c r="B22" s="5" t="str">
        <f>VLOOKUP(A22,schools!A22:B1770,2,FALSE)</f>
        <v>Jellico High School</v>
      </c>
      <c r="C22" s="5" t="str">
        <f>VLOOKUP(A22,schools!A22:F1770,5,FALSE)</f>
        <v>Jellico</v>
      </c>
      <c r="D22" s="5" t="s">
        <v>49</v>
      </c>
      <c r="E22" s="5" t="s">
        <v>18</v>
      </c>
      <c r="F22" s="5">
        <v>68</v>
      </c>
      <c r="G22" s="5">
        <v>97</v>
      </c>
      <c r="H22" s="5">
        <v>18.5</v>
      </c>
      <c r="I22" s="5">
        <v>17.7</v>
      </c>
      <c r="J22" s="5">
        <v>19.3</v>
      </c>
      <c r="K22" s="5">
        <v>18.899999999999999</v>
      </c>
      <c r="L22" s="5">
        <v>18.8</v>
      </c>
      <c r="M22" s="5">
        <v>20</v>
      </c>
      <c r="N22" s="5">
        <v>36</v>
      </c>
      <c r="O22" s="5" t="str">
        <f t="shared" si="0"/>
        <v>Below 20</v>
      </c>
      <c r="P22" s="5" t="str">
        <f t="shared" si="1"/>
        <v>Not all at least 20</v>
      </c>
    </row>
    <row r="23" spans="1:16" x14ac:dyDescent="0.35">
      <c r="A23" s="5" t="s">
        <v>51</v>
      </c>
      <c r="B23" s="5" t="str">
        <f>VLOOKUP(A23,schools!A23:B1771,2,FALSE)</f>
        <v>Cannon County High School</v>
      </c>
      <c r="C23" s="5" t="str">
        <f>VLOOKUP(A23,schools!A23:F1771,5,FALSE)</f>
        <v>Woodbury</v>
      </c>
      <c r="D23" s="5" t="s">
        <v>52</v>
      </c>
      <c r="E23" s="5" t="s">
        <v>18</v>
      </c>
      <c r="F23" s="5">
        <v>105</v>
      </c>
      <c r="G23" s="5">
        <v>99</v>
      </c>
      <c r="H23" s="5">
        <v>18.5</v>
      </c>
      <c r="I23" s="5">
        <v>18.100000000000001</v>
      </c>
      <c r="J23" s="5">
        <v>19.3</v>
      </c>
      <c r="K23" s="5">
        <v>19.2</v>
      </c>
      <c r="L23" s="5">
        <v>18.899999999999999</v>
      </c>
      <c r="M23" s="5">
        <v>38</v>
      </c>
      <c r="N23" s="5">
        <v>52</v>
      </c>
      <c r="O23" s="5" t="str">
        <f t="shared" si="0"/>
        <v>Below 20</v>
      </c>
      <c r="P23" s="5" t="str">
        <f t="shared" si="1"/>
        <v>Not all at least 20</v>
      </c>
    </row>
    <row r="24" spans="1:16" x14ac:dyDescent="0.35">
      <c r="A24" s="5" t="s">
        <v>53</v>
      </c>
      <c r="B24" s="5" t="str">
        <f>VLOOKUP(A24,schools!A24:B1772,2,FALSE)</f>
        <v>Central High School</v>
      </c>
      <c r="C24" s="5" t="str">
        <f>VLOOKUP(A24,schools!A24:F1772,5,FALSE)</f>
        <v>Bruceton</v>
      </c>
      <c r="D24" s="5" t="s">
        <v>54</v>
      </c>
      <c r="E24" s="5" t="s">
        <v>18</v>
      </c>
      <c r="F24" s="5">
        <v>40</v>
      </c>
      <c r="G24" s="5">
        <v>100</v>
      </c>
      <c r="H24" s="5">
        <v>18.399999999999999</v>
      </c>
      <c r="I24" s="5">
        <v>18.600000000000001</v>
      </c>
      <c r="J24" s="5">
        <v>18.899999999999999</v>
      </c>
      <c r="K24" s="5">
        <v>19.100000000000001</v>
      </c>
      <c r="L24" s="5">
        <v>18.899999999999999</v>
      </c>
      <c r="M24" s="5">
        <v>15</v>
      </c>
      <c r="N24" s="5">
        <v>18</v>
      </c>
      <c r="O24" s="5" t="str">
        <f t="shared" si="0"/>
        <v>Below 20</v>
      </c>
      <c r="P24" s="5" t="str">
        <f t="shared" si="1"/>
        <v>Not all at least 20</v>
      </c>
    </row>
    <row r="25" spans="1:16" x14ac:dyDescent="0.35">
      <c r="A25" s="5" t="s">
        <v>55</v>
      </c>
      <c r="B25" s="5" t="str">
        <f>VLOOKUP(A25,schools!A25:B1773,2,FALSE)</f>
        <v>Huntingdon High School</v>
      </c>
      <c r="C25" s="5" t="str">
        <f>VLOOKUP(A25,schools!A25:F1773,5,FALSE)</f>
        <v>Huntingdon</v>
      </c>
      <c r="D25" s="5" t="s">
        <v>56</v>
      </c>
      <c r="E25" s="5" t="s">
        <v>18</v>
      </c>
      <c r="F25" s="5">
        <v>73</v>
      </c>
      <c r="G25" s="5">
        <v>100</v>
      </c>
      <c r="H25" s="5">
        <v>19.399999999999999</v>
      </c>
      <c r="I25" s="5">
        <v>18.8</v>
      </c>
      <c r="J25" s="5">
        <v>20.2</v>
      </c>
      <c r="K25" s="5">
        <v>20</v>
      </c>
      <c r="L25" s="5">
        <v>19.8</v>
      </c>
      <c r="M25" s="5">
        <v>30</v>
      </c>
      <c r="N25" s="5">
        <v>34</v>
      </c>
      <c r="O25" s="5" t="str">
        <f t="shared" si="0"/>
        <v>Below 20</v>
      </c>
      <c r="P25" s="5" t="str">
        <f t="shared" si="1"/>
        <v>Not all at least 20</v>
      </c>
    </row>
    <row r="26" spans="1:16" x14ac:dyDescent="0.35">
      <c r="A26" s="5" t="s">
        <v>57</v>
      </c>
      <c r="B26" s="5" t="str">
        <f>VLOOKUP(A26,schools!A26:B1774,2,FALSE)</f>
        <v>McKenzie High School</v>
      </c>
      <c r="C26" s="5" t="str">
        <f>VLOOKUP(A26,schools!A26:F1774,5,FALSE)</f>
        <v>McKenzie</v>
      </c>
      <c r="D26" s="5" t="s">
        <v>58</v>
      </c>
      <c r="E26" s="5" t="s">
        <v>18</v>
      </c>
      <c r="F26" s="5">
        <v>105</v>
      </c>
      <c r="G26" s="5">
        <v>98</v>
      </c>
      <c r="H26" s="5">
        <v>20.7</v>
      </c>
      <c r="I26" s="5">
        <v>19.8</v>
      </c>
      <c r="J26" s="5">
        <v>22</v>
      </c>
      <c r="K26" s="5">
        <v>21.8</v>
      </c>
      <c r="L26" s="5">
        <v>21.2</v>
      </c>
      <c r="M26" s="5">
        <v>56</v>
      </c>
      <c r="N26" s="5">
        <v>36</v>
      </c>
      <c r="O26" s="5" t="str">
        <f t="shared" si="0"/>
        <v>At least 20</v>
      </c>
      <c r="P26" s="5" t="str">
        <f t="shared" si="1"/>
        <v>Not all at least 20</v>
      </c>
    </row>
    <row r="27" spans="1:16" x14ac:dyDescent="0.35">
      <c r="A27" s="5" t="s">
        <v>59</v>
      </c>
      <c r="B27" s="5" t="str">
        <f>VLOOKUP(A27,schools!A27:B1775,2,FALSE)</f>
        <v>Clarksburg School</v>
      </c>
      <c r="C27" s="5" t="str">
        <f>VLOOKUP(A27,schools!A27:F1775,5,FALSE)</f>
        <v>Clarksburg</v>
      </c>
      <c r="D27" s="5" t="s">
        <v>60</v>
      </c>
      <c r="E27" s="5" t="s">
        <v>18</v>
      </c>
      <c r="F27" s="5">
        <v>25</v>
      </c>
      <c r="G27" s="5">
        <v>100</v>
      </c>
      <c r="H27" s="5">
        <v>18.5</v>
      </c>
      <c r="I27" s="5">
        <v>19</v>
      </c>
      <c r="J27" s="5">
        <v>19.5</v>
      </c>
      <c r="K27" s="5">
        <v>20.100000000000001</v>
      </c>
      <c r="L27" s="5">
        <v>19.399999999999999</v>
      </c>
      <c r="M27" s="5">
        <v>11</v>
      </c>
      <c r="N27" s="5">
        <v>12</v>
      </c>
      <c r="O27" s="5" t="str">
        <f t="shared" si="0"/>
        <v>Below 20</v>
      </c>
      <c r="P27" s="5" t="str">
        <f t="shared" si="1"/>
        <v>Not all at least 20</v>
      </c>
    </row>
    <row r="28" spans="1:16" x14ac:dyDescent="0.35">
      <c r="A28" s="5" t="s">
        <v>61</v>
      </c>
      <c r="B28" s="5" t="str">
        <f>VLOOKUP(A28,schools!A28:B1776,2,FALSE)</f>
        <v>West Carroll Junior/Senior High School</v>
      </c>
      <c r="C28" s="5" t="str">
        <f>VLOOKUP(A28,schools!A28:F1776,5,FALSE)</f>
        <v>Atwood</v>
      </c>
      <c r="D28" s="5" t="s">
        <v>62</v>
      </c>
      <c r="E28" s="5" t="s">
        <v>18</v>
      </c>
      <c r="F28" s="5">
        <v>57</v>
      </c>
      <c r="G28" s="5">
        <v>100</v>
      </c>
      <c r="H28" s="5">
        <v>19.3</v>
      </c>
      <c r="I28" s="5">
        <v>18.3</v>
      </c>
      <c r="J28" s="5">
        <v>19.899999999999999</v>
      </c>
      <c r="K28" s="5">
        <v>19.7</v>
      </c>
      <c r="L28" s="5">
        <v>19.399999999999999</v>
      </c>
      <c r="M28" s="5">
        <v>23</v>
      </c>
      <c r="N28" s="5">
        <v>25</v>
      </c>
      <c r="O28" s="5" t="str">
        <f t="shared" si="0"/>
        <v>Below 20</v>
      </c>
      <c r="P28" s="5" t="str">
        <f t="shared" si="1"/>
        <v>Not all at least 20</v>
      </c>
    </row>
    <row r="29" spans="1:16" x14ac:dyDescent="0.35">
      <c r="A29" s="5" t="s">
        <v>63</v>
      </c>
      <c r="B29" s="5" t="str">
        <f>VLOOKUP(A29,schools!A29:B1777,2,FALSE)</f>
        <v>Cloudland High School</v>
      </c>
      <c r="C29" s="5" t="str">
        <f>VLOOKUP(A29,schools!A29:F1777,5,FALSE)</f>
        <v>Roan Mountain</v>
      </c>
      <c r="D29" s="5" t="s">
        <v>64</v>
      </c>
      <c r="E29" s="5" t="s">
        <v>18</v>
      </c>
      <c r="F29" s="5">
        <v>40</v>
      </c>
      <c r="G29" s="5">
        <v>98</v>
      </c>
      <c r="H29" s="5">
        <v>16</v>
      </c>
      <c r="I29" s="5">
        <v>17.2</v>
      </c>
      <c r="J29" s="5">
        <v>17.2</v>
      </c>
      <c r="K29" s="5">
        <v>18.100000000000001</v>
      </c>
      <c r="L29" s="5">
        <v>17.3</v>
      </c>
      <c r="M29" s="5">
        <v>8</v>
      </c>
      <c r="N29" s="5">
        <v>25</v>
      </c>
      <c r="O29" s="5" t="str">
        <f t="shared" si="0"/>
        <v>Below 20</v>
      </c>
      <c r="P29" s="5" t="str">
        <f t="shared" si="1"/>
        <v>Not all at least 20</v>
      </c>
    </row>
    <row r="30" spans="1:16" x14ac:dyDescent="0.35">
      <c r="A30" s="5" t="s">
        <v>65</v>
      </c>
      <c r="B30" s="5" t="str">
        <f>VLOOKUP(A30,schools!A30:B1778,2,FALSE)</f>
        <v>Hampton High School</v>
      </c>
      <c r="C30" s="5" t="str">
        <f>VLOOKUP(A30,schools!A30:F1778,5,FALSE)</f>
        <v>Hampton</v>
      </c>
      <c r="D30" s="5" t="s">
        <v>64</v>
      </c>
      <c r="E30" s="5" t="s">
        <v>18</v>
      </c>
      <c r="F30" s="5">
        <v>92</v>
      </c>
      <c r="G30" s="5">
        <v>88</v>
      </c>
      <c r="H30" s="5">
        <v>18.600000000000001</v>
      </c>
      <c r="I30" s="5">
        <v>18.100000000000001</v>
      </c>
      <c r="J30" s="5">
        <v>20.399999999999999</v>
      </c>
      <c r="K30" s="5">
        <v>20</v>
      </c>
      <c r="L30" s="5">
        <v>19.100000000000001</v>
      </c>
      <c r="M30" s="5">
        <v>28</v>
      </c>
      <c r="N30" s="5">
        <v>41</v>
      </c>
      <c r="O30" s="5" t="str">
        <f t="shared" si="0"/>
        <v>Below 20</v>
      </c>
      <c r="P30" s="5" t="str">
        <f t="shared" si="1"/>
        <v>Not all at least 20</v>
      </c>
    </row>
    <row r="31" spans="1:16" x14ac:dyDescent="0.35">
      <c r="A31" s="5" t="s">
        <v>66</v>
      </c>
      <c r="B31" s="5" t="str">
        <f>VLOOKUP(A31,schools!A31:B1779,2,FALSE)</f>
        <v>Happy Valley High School</v>
      </c>
      <c r="C31" s="5" t="str">
        <f>VLOOKUP(A31,schools!A31:F1779,5,FALSE)</f>
        <v>Elizabethton</v>
      </c>
      <c r="D31" s="5" t="s">
        <v>64</v>
      </c>
      <c r="E31" s="5" t="s">
        <v>18</v>
      </c>
      <c r="F31" s="5">
        <v>117</v>
      </c>
      <c r="G31" s="5">
        <v>82</v>
      </c>
      <c r="H31" s="5">
        <v>19.3</v>
      </c>
      <c r="I31" s="5">
        <v>18.2</v>
      </c>
      <c r="J31" s="5">
        <v>20.3</v>
      </c>
      <c r="K31" s="5">
        <v>19.8</v>
      </c>
      <c r="L31" s="5">
        <v>19.600000000000001</v>
      </c>
      <c r="M31" s="5">
        <v>40</v>
      </c>
      <c r="N31" s="5">
        <v>48</v>
      </c>
      <c r="O31" s="5" t="str">
        <f t="shared" si="0"/>
        <v>Below 20</v>
      </c>
      <c r="P31" s="5" t="str">
        <f t="shared" si="1"/>
        <v>Not all at least 20</v>
      </c>
    </row>
    <row r="32" spans="1:16" x14ac:dyDescent="0.35">
      <c r="A32" s="5" t="s">
        <v>67</v>
      </c>
      <c r="B32" s="5" t="str">
        <f>VLOOKUP(A32,schools!A32:B1780,2,FALSE)</f>
        <v>Unaka High School</v>
      </c>
      <c r="C32" s="5" t="str">
        <f>VLOOKUP(A32,schools!A32:F1780,5,FALSE)</f>
        <v>Elizabethton</v>
      </c>
      <c r="D32" s="5" t="s">
        <v>64</v>
      </c>
      <c r="E32" s="5" t="s">
        <v>18</v>
      </c>
      <c r="F32" s="5">
        <v>70</v>
      </c>
      <c r="G32" s="5">
        <v>93</v>
      </c>
      <c r="H32" s="5">
        <v>19.8</v>
      </c>
      <c r="I32" s="5">
        <v>18.5</v>
      </c>
      <c r="J32" s="5">
        <v>20.5</v>
      </c>
      <c r="K32" s="5">
        <v>19.5</v>
      </c>
      <c r="L32" s="5">
        <v>19.8</v>
      </c>
      <c r="M32" s="5">
        <v>27</v>
      </c>
      <c r="N32" s="5">
        <v>27</v>
      </c>
      <c r="O32" s="5" t="str">
        <f t="shared" si="0"/>
        <v>Below 20</v>
      </c>
      <c r="P32" s="5" t="str">
        <f t="shared" si="1"/>
        <v>Not all at least 20</v>
      </c>
    </row>
    <row r="33" spans="1:16" x14ac:dyDescent="0.35">
      <c r="A33" s="5" t="s">
        <v>68</v>
      </c>
      <c r="B33" s="5" t="str">
        <f>VLOOKUP(A33,schools!A33:B1781,2,FALSE)</f>
        <v>Elizabethton High School</v>
      </c>
      <c r="C33" s="5" t="str">
        <f>VLOOKUP(A33,schools!A33:F1781,5,FALSE)</f>
        <v>Elizabethton</v>
      </c>
      <c r="D33" s="5" t="s">
        <v>69</v>
      </c>
      <c r="E33" s="5" t="s">
        <v>18</v>
      </c>
      <c r="F33" s="5">
        <v>184</v>
      </c>
      <c r="G33" s="5">
        <v>99</v>
      </c>
      <c r="H33" s="5">
        <v>21.6</v>
      </c>
      <c r="I33" s="5">
        <v>20.9</v>
      </c>
      <c r="J33" s="5">
        <v>22.7</v>
      </c>
      <c r="K33" s="5">
        <v>21.9</v>
      </c>
      <c r="L33" s="5">
        <v>21.9</v>
      </c>
      <c r="M33" s="5">
        <v>105</v>
      </c>
      <c r="N33" s="5">
        <v>44</v>
      </c>
      <c r="O33" s="5" t="str">
        <f t="shared" si="0"/>
        <v>At least 20</v>
      </c>
      <c r="P33" s="5" t="str">
        <f t="shared" si="1"/>
        <v>All at least 20</v>
      </c>
    </row>
    <row r="34" spans="1:16" x14ac:dyDescent="0.35">
      <c r="A34" s="5" t="s">
        <v>70</v>
      </c>
      <c r="B34" s="5" t="str">
        <f>VLOOKUP(A34,schools!A34:B1782,2,FALSE)</f>
        <v>Cheatham Co Central</v>
      </c>
      <c r="C34" s="5" t="str">
        <f>VLOOKUP(A34,schools!A34:F1782,5,FALSE)</f>
        <v>Ashland City</v>
      </c>
      <c r="D34" s="5" t="s">
        <v>71</v>
      </c>
      <c r="E34" s="5" t="s">
        <v>18</v>
      </c>
      <c r="F34" s="5">
        <v>145</v>
      </c>
      <c r="G34" s="5">
        <v>98</v>
      </c>
      <c r="H34" s="5">
        <v>17.600000000000001</v>
      </c>
      <c r="I34" s="5">
        <v>17.7</v>
      </c>
      <c r="J34" s="5">
        <v>19.100000000000001</v>
      </c>
      <c r="K34" s="5">
        <v>18.8</v>
      </c>
      <c r="L34" s="5">
        <v>18.5</v>
      </c>
      <c r="M34" s="5">
        <v>37</v>
      </c>
      <c r="N34" s="5">
        <v>83</v>
      </c>
      <c r="O34" s="5" t="str">
        <f t="shared" si="0"/>
        <v>Below 20</v>
      </c>
      <c r="P34" s="5" t="str">
        <f t="shared" si="1"/>
        <v>Not all at least 20</v>
      </c>
    </row>
    <row r="35" spans="1:16" x14ac:dyDescent="0.35">
      <c r="A35" s="5" t="s">
        <v>72</v>
      </c>
      <c r="B35" s="5" t="str">
        <f>VLOOKUP(A35,schools!A35:B1783,2,FALSE)</f>
        <v>Harpeth High School</v>
      </c>
      <c r="C35" s="5" t="str">
        <f>VLOOKUP(A35,schools!A35:F1783,5,FALSE)</f>
        <v>Kingston Springs</v>
      </c>
      <c r="D35" s="5" t="s">
        <v>71</v>
      </c>
      <c r="E35" s="5" t="s">
        <v>18</v>
      </c>
      <c r="F35" s="5">
        <v>142</v>
      </c>
      <c r="G35" s="5">
        <v>99</v>
      </c>
      <c r="H35" s="5">
        <v>20</v>
      </c>
      <c r="I35" s="5">
        <v>19.5</v>
      </c>
      <c r="J35" s="5">
        <v>21.9</v>
      </c>
      <c r="K35" s="5">
        <v>21.2</v>
      </c>
      <c r="L35" s="5">
        <v>20.8</v>
      </c>
      <c r="M35" s="5">
        <v>67</v>
      </c>
      <c r="N35" s="5">
        <v>52</v>
      </c>
      <c r="O35" s="5" t="str">
        <f t="shared" si="0"/>
        <v>At least 20</v>
      </c>
      <c r="P35" s="5" t="str">
        <f t="shared" si="1"/>
        <v>Not all at least 20</v>
      </c>
    </row>
    <row r="36" spans="1:16" x14ac:dyDescent="0.35">
      <c r="A36" s="5" t="s">
        <v>73</v>
      </c>
      <c r="B36" s="5" t="str">
        <f>VLOOKUP(A36,schools!A36:B1784,2,FALSE)</f>
        <v>Sycamore High School</v>
      </c>
      <c r="C36" s="5" t="str">
        <f>VLOOKUP(A36,schools!A36:F1784,5,FALSE)</f>
        <v>Pleasant View</v>
      </c>
      <c r="D36" s="5" t="s">
        <v>71</v>
      </c>
      <c r="E36" s="5" t="s">
        <v>18</v>
      </c>
      <c r="F36" s="5">
        <v>169</v>
      </c>
      <c r="G36" s="5">
        <v>99</v>
      </c>
      <c r="H36" s="5">
        <v>19</v>
      </c>
      <c r="I36" s="5">
        <v>18.600000000000001</v>
      </c>
      <c r="J36" s="5">
        <v>20.6</v>
      </c>
      <c r="K36" s="5">
        <v>20.2</v>
      </c>
      <c r="L36" s="5">
        <v>19.7</v>
      </c>
      <c r="M36" s="5">
        <v>69</v>
      </c>
      <c r="N36" s="5">
        <v>70</v>
      </c>
      <c r="O36" s="5" t="str">
        <f t="shared" si="0"/>
        <v>Below 20</v>
      </c>
      <c r="P36" s="5" t="str">
        <f t="shared" si="1"/>
        <v>Not all at least 20</v>
      </c>
    </row>
    <row r="37" spans="1:16" x14ac:dyDescent="0.35">
      <c r="A37" s="5" t="s">
        <v>74</v>
      </c>
      <c r="B37" s="5" t="str">
        <f>VLOOKUP(A37,schools!A37:B1785,2,FALSE)</f>
        <v>Chester County High School</v>
      </c>
      <c r="C37" s="5" t="str">
        <f>VLOOKUP(A37,schools!A37:F1785,5,FALSE)</f>
        <v>Henderson</v>
      </c>
      <c r="D37" s="5" t="s">
        <v>75</v>
      </c>
      <c r="E37" s="5" t="s">
        <v>18</v>
      </c>
      <c r="F37" s="5">
        <v>192</v>
      </c>
      <c r="G37" s="5">
        <v>98</v>
      </c>
      <c r="H37" s="5">
        <v>20.5</v>
      </c>
      <c r="I37" s="5">
        <v>19.399999999999999</v>
      </c>
      <c r="J37" s="5">
        <v>20.2</v>
      </c>
      <c r="K37" s="5">
        <v>20</v>
      </c>
      <c r="L37" s="5">
        <v>20.2</v>
      </c>
      <c r="M37" s="5">
        <v>86</v>
      </c>
      <c r="N37" s="5">
        <v>79</v>
      </c>
      <c r="O37" s="5" t="str">
        <f t="shared" si="0"/>
        <v>At least 20</v>
      </c>
      <c r="P37" s="5" t="str">
        <f t="shared" si="1"/>
        <v>Not all at least 20</v>
      </c>
    </row>
    <row r="38" spans="1:16" x14ac:dyDescent="0.35">
      <c r="A38" s="5" t="s">
        <v>76</v>
      </c>
      <c r="B38" s="5" t="str">
        <f>VLOOKUP(A38,schools!A38:B1786,2,FALSE)</f>
        <v>Cumberland Gap High School</v>
      </c>
      <c r="C38" s="5" t="str">
        <f>VLOOKUP(A38,schools!A38:F1786,5,FALSE)</f>
        <v>Cumberland Gap</v>
      </c>
      <c r="D38" s="5" t="s">
        <v>77</v>
      </c>
      <c r="E38" s="5" t="s">
        <v>18</v>
      </c>
      <c r="F38" s="5">
        <v>112</v>
      </c>
      <c r="G38" s="5">
        <v>99</v>
      </c>
      <c r="H38" s="5">
        <v>19.5</v>
      </c>
      <c r="I38" s="5">
        <v>19.399999999999999</v>
      </c>
      <c r="J38" s="5">
        <v>20.3</v>
      </c>
      <c r="K38" s="5">
        <v>19.899999999999999</v>
      </c>
      <c r="L38" s="5">
        <v>20</v>
      </c>
      <c r="M38" s="5">
        <v>45</v>
      </c>
      <c r="N38" s="5">
        <v>43</v>
      </c>
      <c r="O38" s="5" t="str">
        <f t="shared" si="0"/>
        <v>At least 20</v>
      </c>
      <c r="P38" s="5" t="str">
        <f t="shared" si="1"/>
        <v>Not all at least 20</v>
      </c>
    </row>
    <row r="39" spans="1:16" x14ac:dyDescent="0.35">
      <c r="A39" s="5" t="s">
        <v>78</v>
      </c>
      <c r="B39" s="5" t="str">
        <f>VLOOKUP(A39,schools!A39:B1787,2,FALSE)</f>
        <v>Claiborne High School</v>
      </c>
      <c r="C39" s="5" t="str">
        <f>VLOOKUP(A39,schools!A39:F1787,5,FALSE)</f>
        <v>New Tazewell</v>
      </c>
      <c r="D39" s="5" t="s">
        <v>77</v>
      </c>
      <c r="E39" s="5" t="s">
        <v>18</v>
      </c>
      <c r="F39" s="5">
        <v>150</v>
      </c>
      <c r="G39" s="5">
        <v>99</v>
      </c>
      <c r="H39" s="5">
        <v>17.8</v>
      </c>
      <c r="I39" s="5">
        <v>18.3</v>
      </c>
      <c r="J39" s="5">
        <v>19.2</v>
      </c>
      <c r="K39" s="5">
        <v>19.399999999999999</v>
      </c>
      <c r="L39" s="5">
        <v>18.8</v>
      </c>
      <c r="M39" s="5">
        <v>50</v>
      </c>
      <c r="N39" s="5">
        <v>79</v>
      </c>
      <c r="O39" s="5" t="str">
        <f t="shared" si="0"/>
        <v>Below 20</v>
      </c>
      <c r="P39" s="5" t="str">
        <f t="shared" si="1"/>
        <v>Not all at least 20</v>
      </c>
    </row>
    <row r="40" spans="1:16" x14ac:dyDescent="0.35">
      <c r="A40" s="5" t="s">
        <v>79</v>
      </c>
      <c r="B40" s="5" t="str">
        <f>VLOOKUP(A40,schools!A40:B1788,2,FALSE)</f>
        <v>Clay County High School</v>
      </c>
      <c r="C40" s="5" t="str">
        <f>VLOOKUP(A40,schools!A40:F1788,5,FALSE)</f>
        <v>Celina</v>
      </c>
      <c r="D40" s="5" t="s">
        <v>80</v>
      </c>
      <c r="E40" s="5" t="s">
        <v>18</v>
      </c>
      <c r="F40" s="5">
        <v>62</v>
      </c>
      <c r="G40" s="5">
        <v>97</v>
      </c>
      <c r="H40" s="5">
        <v>18.2</v>
      </c>
      <c r="I40" s="5">
        <v>19.100000000000001</v>
      </c>
      <c r="J40" s="5">
        <v>17.899999999999999</v>
      </c>
      <c r="K40" s="5">
        <v>18.600000000000001</v>
      </c>
      <c r="L40" s="5">
        <v>18.5</v>
      </c>
      <c r="M40" s="5">
        <v>19</v>
      </c>
      <c r="N40" s="5">
        <v>32</v>
      </c>
      <c r="O40" s="5" t="str">
        <f t="shared" si="0"/>
        <v>Below 20</v>
      </c>
      <c r="P40" s="5" t="str">
        <f t="shared" si="1"/>
        <v>Not all at least 20</v>
      </c>
    </row>
    <row r="41" spans="1:16" x14ac:dyDescent="0.35">
      <c r="A41" s="5" t="s">
        <v>81</v>
      </c>
      <c r="B41" s="5" t="str">
        <f>VLOOKUP(A41,schools!A41:B1789,2,FALSE)</f>
        <v>Cocke Co High School</v>
      </c>
      <c r="C41" s="5" t="str">
        <f>VLOOKUP(A41,schools!A41:F1789,5,FALSE)</f>
        <v>Newport</v>
      </c>
      <c r="D41" s="5" t="s">
        <v>82</v>
      </c>
      <c r="E41" s="5" t="s">
        <v>18</v>
      </c>
      <c r="F41" s="5">
        <v>265</v>
      </c>
      <c r="G41" s="5">
        <v>98</v>
      </c>
      <c r="H41" s="5">
        <v>17.8</v>
      </c>
      <c r="I41" s="5">
        <v>18.5</v>
      </c>
      <c r="J41" s="5">
        <v>19.5</v>
      </c>
      <c r="K41" s="5">
        <v>19.100000000000001</v>
      </c>
      <c r="L41" s="5">
        <v>18.899999999999999</v>
      </c>
      <c r="M41" s="5">
        <v>92</v>
      </c>
      <c r="N41" s="5">
        <v>140</v>
      </c>
      <c r="O41" s="5" t="str">
        <f t="shared" si="0"/>
        <v>Below 20</v>
      </c>
      <c r="P41" s="5" t="str">
        <f t="shared" si="1"/>
        <v>Not all at least 20</v>
      </c>
    </row>
    <row r="42" spans="1:16" x14ac:dyDescent="0.35">
      <c r="A42" s="5" t="s">
        <v>83</v>
      </c>
      <c r="B42" s="5" t="str">
        <f>VLOOKUP(A42,schools!A42:B1790,2,FALSE)</f>
        <v>Cosby High School</v>
      </c>
      <c r="C42" s="5" t="str">
        <f>VLOOKUP(A42,schools!A42:F1790,5,FALSE)</f>
        <v>Cosby</v>
      </c>
      <c r="D42" s="5" t="s">
        <v>82</v>
      </c>
      <c r="E42" s="5" t="s">
        <v>18</v>
      </c>
      <c r="F42" s="5">
        <v>93</v>
      </c>
      <c r="G42" s="5">
        <v>95</v>
      </c>
      <c r="H42" s="5">
        <v>16.8</v>
      </c>
      <c r="I42" s="5">
        <v>17.600000000000001</v>
      </c>
      <c r="J42" s="5">
        <v>18.600000000000001</v>
      </c>
      <c r="K42" s="5">
        <v>18.3</v>
      </c>
      <c r="L42" s="5">
        <v>17.899999999999999</v>
      </c>
      <c r="M42" s="5">
        <v>24</v>
      </c>
      <c r="N42" s="5">
        <v>56</v>
      </c>
      <c r="O42" s="5" t="str">
        <f t="shared" si="0"/>
        <v>Below 20</v>
      </c>
      <c r="P42" s="5" t="str">
        <f t="shared" si="1"/>
        <v>Not all at least 20</v>
      </c>
    </row>
    <row r="43" spans="1:16" x14ac:dyDescent="0.35">
      <c r="A43" s="5" t="s">
        <v>84</v>
      </c>
      <c r="B43" s="5" t="str">
        <f>VLOOKUP(A43,schools!A43:B1791,2,FALSE)</f>
        <v>Coffee County Central High School</v>
      </c>
      <c r="C43" s="5" t="str">
        <f>VLOOKUP(A43,schools!A43:F1791,5,FALSE)</f>
        <v>Manchester</v>
      </c>
      <c r="D43" s="5" t="s">
        <v>85</v>
      </c>
      <c r="E43" s="5" t="s">
        <v>18</v>
      </c>
      <c r="F43" s="5">
        <v>397</v>
      </c>
      <c r="G43" s="5">
        <v>97</v>
      </c>
      <c r="H43" s="5">
        <v>19</v>
      </c>
      <c r="I43" s="5">
        <v>18.899999999999999</v>
      </c>
      <c r="J43" s="5">
        <v>19.600000000000001</v>
      </c>
      <c r="K43" s="5">
        <v>19.5</v>
      </c>
      <c r="L43" s="5">
        <v>19.399999999999999</v>
      </c>
      <c r="M43" s="5">
        <v>157</v>
      </c>
      <c r="N43" s="5">
        <v>193</v>
      </c>
      <c r="O43" s="5" t="str">
        <f t="shared" si="0"/>
        <v>Below 20</v>
      </c>
      <c r="P43" s="5" t="str">
        <f t="shared" si="1"/>
        <v>Not all at least 20</v>
      </c>
    </row>
    <row r="44" spans="1:16" x14ac:dyDescent="0.35">
      <c r="A44" s="5" t="s">
        <v>86</v>
      </c>
      <c r="B44" s="5" t="str">
        <f>VLOOKUP(A44,schools!A44:B1792,2,FALSE)</f>
        <v>Tullahoma High School</v>
      </c>
      <c r="C44" s="5" t="str">
        <f>VLOOKUP(A44,schools!A44:F1792,5,FALSE)</f>
        <v>Tullahoma</v>
      </c>
      <c r="D44" s="5" t="s">
        <v>87</v>
      </c>
      <c r="E44" s="5" t="s">
        <v>18</v>
      </c>
      <c r="F44" s="5">
        <v>215</v>
      </c>
      <c r="G44" s="5">
        <v>95</v>
      </c>
      <c r="H44" s="5">
        <v>21.6</v>
      </c>
      <c r="I44" s="5">
        <v>21.3</v>
      </c>
      <c r="J44" s="5">
        <v>22.5</v>
      </c>
      <c r="K44" s="5">
        <v>21.9</v>
      </c>
      <c r="L44" s="5">
        <v>22</v>
      </c>
      <c r="M44" s="5">
        <v>120</v>
      </c>
      <c r="N44" s="5">
        <v>62</v>
      </c>
      <c r="O44" s="5" t="str">
        <f t="shared" si="0"/>
        <v>At least 20</v>
      </c>
      <c r="P44" s="5" t="str">
        <f t="shared" si="1"/>
        <v>All at least 20</v>
      </c>
    </row>
    <row r="45" spans="1:16" x14ac:dyDescent="0.35">
      <c r="A45" s="5" t="s">
        <v>88</v>
      </c>
      <c r="B45" s="5" t="str">
        <f>VLOOKUP(A45,schools!A45:B1793,2,FALSE)</f>
        <v>Crockett County High School</v>
      </c>
      <c r="C45" s="5" t="str">
        <f>VLOOKUP(A45,schools!A45:F1793,5,FALSE)</f>
        <v>Alamo</v>
      </c>
      <c r="D45" s="5" t="s">
        <v>89</v>
      </c>
      <c r="E45" s="5" t="s">
        <v>18</v>
      </c>
      <c r="F45" s="5">
        <v>211</v>
      </c>
      <c r="G45" s="5">
        <v>100</v>
      </c>
      <c r="H45" s="5">
        <v>18</v>
      </c>
      <c r="I45" s="5">
        <v>18.100000000000001</v>
      </c>
      <c r="J45" s="5">
        <v>19.100000000000001</v>
      </c>
      <c r="K45" s="5">
        <v>18.8</v>
      </c>
      <c r="L45" s="5">
        <v>18.7</v>
      </c>
      <c r="M45" s="5">
        <v>62</v>
      </c>
      <c r="N45" s="5">
        <v>111</v>
      </c>
      <c r="O45" s="5" t="str">
        <f t="shared" si="0"/>
        <v>Below 20</v>
      </c>
      <c r="P45" s="5" t="str">
        <f t="shared" si="1"/>
        <v>Not all at least 20</v>
      </c>
    </row>
    <row r="46" spans="1:16" x14ac:dyDescent="0.35">
      <c r="A46" s="5" t="s">
        <v>90</v>
      </c>
      <c r="B46" s="5" t="str">
        <f>VLOOKUP(A46,schools!A46:B1794,2,FALSE)</f>
        <v>Cumberland County High School</v>
      </c>
      <c r="C46" s="5" t="str">
        <f>VLOOKUP(A46,schools!A46:F1794,5,FALSE)</f>
        <v>Crossville</v>
      </c>
      <c r="D46" s="5" t="s">
        <v>91</v>
      </c>
      <c r="E46" s="5" t="s">
        <v>18</v>
      </c>
      <c r="F46" s="5">
        <v>199</v>
      </c>
      <c r="G46" s="5">
        <v>99</v>
      </c>
      <c r="H46" s="5">
        <v>20</v>
      </c>
      <c r="I46" s="5">
        <v>19.7</v>
      </c>
      <c r="J46" s="5">
        <v>20.9</v>
      </c>
      <c r="K46" s="5">
        <v>20.3</v>
      </c>
      <c r="L46" s="5">
        <v>20.399999999999999</v>
      </c>
      <c r="M46" s="5">
        <v>87</v>
      </c>
      <c r="N46" s="5">
        <v>74</v>
      </c>
      <c r="O46" s="5" t="str">
        <f t="shared" si="0"/>
        <v>At least 20</v>
      </c>
      <c r="P46" s="5" t="str">
        <f t="shared" si="1"/>
        <v>Not all at least 20</v>
      </c>
    </row>
    <row r="47" spans="1:16" x14ac:dyDescent="0.35">
      <c r="A47" s="5" t="s">
        <v>92</v>
      </c>
      <c r="B47" s="5" t="str">
        <f>VLOOKUP(A47,schools!A47:B1795,2,FALSE)</f>
        <v>Stone Memorial High School</v>
      </c>
      <c r="C47" s="5" t="str">
        <f>VLOOKUP(A47,schools!A47:F1795,5,FALSE)</f>
        <v>Crossville</v>
      </c>
      <c r="D47" s="5" t="s">
        <v>91</v>
      </c>
      <c r="E47" s="5" t="s">
        <v>18</v>
      </c>
      <c r="F47" s="5">
        <v>223</v>
      </c>
      <c r="G47" s="5">
        <v>97</v>
      </c>
      <c r="H47" s="5">
        <v>20.9</v>
      </c>
      <c r="I47" s="5">
        <v>20.8</v>
      </c>
      <c r="J47" s="5">
        <v>21.8</v>
      </c>
      <c r="K47" s="5">
        <v>21.4</v>
      </c>
      <c r="L47" s="5">
        <v>21.4</v>
      </c>
      <c r="M47" s="5">
        <v>123</v>
      </c>
      <c r="N47" s="5">
        <v>68</v>
      </c>
      <c r="O47" s="5" t="str">
        <f t="shared" si="0"/>
        <v>At least 20</v>
      </c>
      <c r="P47" s="5" t="str">
        <f t="shared" si="1"/>
        <v>All at least 20</v>
      </c>
    </row>
    <row r="48" spans="1:16" x14ac:dyDescent="0.35">
      <c r="A48" s="5" t="s">
        <v>93</v>
      </c>
      <c r="B48" s="5" t="str">
        <f>VLOOKUP(A48,schools!A48:B1796,2,FALSE)</f>
        <v>The Phoenix School</v>
      </c>
      <c r="C48" s="5" t="str">
        <f>VLOOKUP(A48,schools!A48:F1796,5,FALSE)</f>
        <v>Crossville</v>
      </c>
      <c r="D48" s="5" t="s">
        <v>91</v>
      </c>
      <c r="E48" s="5" t="s">
        <v>18</v>
      </c>
      <c r="F48" s="5">
        <v>67</v>
      </c>
      <c r="G48" s="5">
        <v>93</v>
      </c>
      <c r="H48" s="5">
        <v>14</v>
      </c>
      <c r="I48" s="5">
        <v>16</v>
      </c>
      <c r="J48" s="5">
        <v>15.5</v>
      </c>
      <c r="K48" s="5">
        <v>15.2</v>
      </c>
      <c r="L48" s="5">
        <v>15.3</v>
      </c>
      <c r="M48" s="5" t="s">
        <v>41</v>
      </c>
      <c r="N48" s="5" t="s">
        <v>41</v>
      </c>
      <c r="O48" s="5" t="str">
        <f t="shared" si="0"/>
        <v>Below 20</v>
      </c>
      <c r="P48" s="5" t="str">
        <f t="shared" si="1"/>
        <v>Not all at least 20</v>
      </c>
    </row>
    <row r="49" spans="1:16" x14ac:dyDescent="0.35">
      <c r="A49" s="5" t="s">
        <v>94</v>
      </c>
      <c r="B49" s="5" t="str">
        <f>VLOOKUP(A49,schools!A49:B1797,2,FALSE)</f>
        <v>MNPS Virtual School</v>
      </c>
      <c r="C49" s="5" t="str">
        <f>VLOOKUP(A49,schools!A49:F1797,5,FALSE)</f>
        <v>Nashville</v>
      </c>
      <c r="D49" s="5" t="s">
        <v>95</v>
      </c>
      <c r="E49" s="5" t="s">
        <v>18</v>
      </c>
      <c r="F49" s="5">
        <v>18</v>
      </c>
      <c r="G49" s="5">
        <v>95</v>
      </c>
      <c r="H49" s="5">
        <v>22.7</v>
      </c>
      <c r="I49" s="5">
        <v>20.9</v>
      </c>
      <c r="J49" s="5">
        <v>22.4</v>
      </c>
      <c r="K49" s="5">
        <v>22.1</v>
      </c>
      <c r="L49" s="5">
        <v>22.2</v>
      </c>
      <c r="M49" s="5">
        <v>10</v>
      </c>
      <c r="N49" s="5">
        <v>5</v>
      </c>
      <c r="O49" s="5" t="str">
        <f t="shared" si="0"/>
        <v>At least 20</v>
      </c>
      <c r="P49" s="5" t="str">
        <f t="shared" si="1"/>
        <v>All at least 20</v>
      </c>
    </row>
    <row r="50" spans="1:16" x14ac:dyDescent="0.35">
      <c r="A50" s="5" t="s">
        <v>96</v>
      </c>
      <c r="B50" s="5" t="str">
        <f>VLOOKUP(A50,schools!A50:B1798,2,FALSE)</f>
        <v>Antioch High School</v>
      </c>
      <c r="C50" s="5" t="str">
        <f>VLOOKUP(A50,schools!A50:F1798,5,FALSE)</f>
        <v>Antioch</v>
      </c>
      <c r="D50" s="5" t="s">
        <v>95</v>
      </c>
      <c r="E50" s="5" t="s">
        <v>18</v>
      </c>
      <c r="F50" s="5">
        <v>435</v>
      </c>
      <c r="G50" s="5">
        <v>96</v>
      </c>
      <c r="H50" s="5">
        <v>16.5</v>
      </c>
      <c r="I50" s="5">
        <v>17.600000000000001</v>
      </c>
      <c r="J50" s="5">
        <v>18.100000000000001</v>
      </c>
      <c r="K50" s="5">
        <v>18</v>
      </c>
      <c r="L50" s="5">
        <v>17.7</v>
      </c>
      <c r="M50" s="5">
        <v>94</v>
      </c>
      <c r="N50" s="5">
        <v>276</v>
      </c>
      <c r="O50" s="5" t="str">
        <f t="shared" si="0"/>
        <v>Below 20</v>
      </c>
      <c r="P50" s="5" t="str">
        <f t="shared" si="1"/>
        <v>Not all at least 20</v>
      </c>
    </row>
    <row r="51" spans="1:16" x14ac:dyDescent="0.35">
      <c r="A51" s="5" t="s">
        <v>97</v>
      </c>
      <c r="B51" s="5" t="str">
        <f>VLOOKUP(A51,schools!A51:B1799,2,FALSE)</f>
        <v>Nashville Big Picture High School</v>
      </c>
      <c r="C51" s="5" t="str">
        <f>VLOOKUP(A51,schools!A51:F1799,5,FALSE)</f>
        <v>Nashville</v>
      </c>
      <c r="D51" s="5" t="s">
        <v>95</v>
      </c>
      <c r="E51" s="5" t="s">
        <v>18</v>
      </c>
      <c r="F51" s="5">
        <v>25</v>
      </c>
      <c r="G51" s="5">
        <v>100</v>
      </c>
      <c r="H51" s="5">
        <v>20.100000000000001</v>
      </c>
      <c r="I51" s="5">
        <v>17.3</v>
      </c>
      <c r="J51" s="5">
        <v>20.399999999999999</v>
      </c>
      <c r="K51" s="5">
        <v>20</v>
      </c>
      <c r="L51" s="5">
        <v>19.600000000000001</v>
      </c>
      <c r="M51" s="5">
        <v>7</v>
      </c>
      <c r="N51" s="5">
        <v>12</v>
      </c>
      <c r="O51" s="5" t="str">
        <f t="shared" si="0"/>
        <v>Below 20</v>
      </c>
      <c r="P51" s="5" t="str">
        <f t="shared" si="1"/>
        <v>Not all at least 20</v>
      </c>
    </row>
    <row r="52" spans="1:16" x14ac:dyDescent="0.35">
      <c r="A52" s="5" t="s">
        <v>98</v>
      </c>
      <c r="B52" s="5" t="str">
        <f>VLOOKUP(A52,schools!A52:B1800,2,FALSE)</f>
        <v>Cane Ridge High School</v>
      </c>
      <c r="C52" s="5" t="str">
        <f>VLOOKUP(A52,schools!A52:F1800,5,FALSE)</f>
        <v>Antioch</v>
      </c>
      <c r="D52" s="5" t="s">
        <v>95</v>
      </c>
      <c r="E52" s="5" t="s">
        <v>18</v>
      </c>
      <c r="F52" s="5">
        <v>391</v>
      </c>
      <c r="G52" s="5">
        <v>96</v>
      </c>
      <c r="H52" s="5">
        <v>16.3</v>
      </c>
      <c r="I52" s="5">
        <v>17.3</v>
      </c>
      <c r="J52" s="5">
        <v>17.600000000000001</v>
      </c>
      <c r="K52" s="5">
        <v>17.7</v>
      </c>
      <c r="L52" s="5">
        <v>17.399999999999999</v>
      </c>
      <c r="M52" s="5">
        <v>79</v>
      </c>
      <c r="N52" s="5">
        <v>266</v>
      </c>
      <c r="O52" s="5" t="str">
        <f t="shared" si="0"/>
        <v>Below 20</v>
      </c>
      <c r="P52" s="5" t="str">
        <f t="shared" si="1"/>
        <v>Not all at least 20</v>
      </c>
    </row>
    <row r="53" spans="1:16" x14ac:dyDescent="0.35">
      <c r="A53" s="5" t="s">
        <v>99</v>
      </c>
      <c r="B53" s="5" t="str">
        <f>VLOOKUP(A53,schools!A53:B1801,2,FALSE)</f>
        <v>East Nashville Magnet High School</v>
      </c>
      <c r="C53" s="5" t="str">
        <f>VLOOKUP(A53,schools!A53:F1801,5,FALSE)</f>
        <v>Nashville</v>
      </c>
      <c r="D53" s="5" t="s">
        <v>95</v>
      </c>
      <c r="E53" s="5" t="s">
        <v>18</v>
      </c>
      <c r="F53" s="5">
        <v>159</v>
      </c>
      <c r="G53" s="5">
        <v>99</v>
      </c>
      <c r="H53" s="5">
        <v>17.5</v>
      </c>
      <c r="I53" s="5">
        <v>17.8</v>
      </c>
      <c r="J53" s="5">
        <v>18.8</v>
      </c>
      <c r="K53" s="5">
        <v>18.399999999999999</v>
      </c>
      <c r="L53" s="5">
        <v>18.3</v>
      </c>
      <c r="M53" s="5">
        <v>33</v>
      </c>
      <c r="N53" s="5">
        <v>93</v>
      </c>
      <c r="O53" s="5" t="str">
        <f t="shared" si="0"/>
        <v>Below 20</v>
      </c>
      <c r="P53" s="5" t="str">
        <f t="shared" si="1"/>
        <v>Not all at least 20</v>
      </c>
    </row>
    <row r="54" spans="1:16" x14ac:dyDescent="0.35">
      <c r="A54" s="5" t="s">
        <v>100</v>
      </c>
      <c r="B54" s="5" t="str">
        <f>VLOOKUP(A54,schools!A54:B1802,2,FALSE)</f>
        <v>Glencliff High School</v>
      </c>
      <c r="C54" s="5" t="str">
        <f>VLOOKUP(A54,schools!A54:F1802,5,FALSE)</f>
        <v>Nashville</v>
      </c>
      <c r="D54" s="5" t="s">
        <v>95</v>
      </c>
      <c r="E54" s="5" t="s">
        <v>18</v>
      </c>
      <c r="F54" s="5">
        <v>262</v>
      </c>
      <c r="G54" s="5">
        <v>97</v>
      </c>
      <c r="H54" s="5">
        <v>15.5</v>
      </c>
      <c r="I54" s="5">
        <v>16.8</v>
      </c>
      <c r="J54" s="5">
        <v>17.3</v>
      </c>
      <c r="K54" s="5">
        <v>17.3</v>
      </c>
      <c r="L54" s="5">
        <v>16.8</v>
      </c>
      <c r="M54" s="5">
        <v>45</v>
      </c>
      <c r="N54" s="5">
        <v>179</v>
      </c>
      <c r="O54" s="5" t="str">
        <f t="shared" si="0"/>
        <v>Below 20</v>
      </c>
      <c r="P54" s="5" t="str">
        <f t="shared" si="1"/>
        <v>Not all at least 20</v>
      </c>
    </row>
    <row r="55" spans="1:16" x14ac:dyDescent="0.35">
      <c r="A55" s="5" t="s">
        <v>101</v>
      </c>
      <c r="B55" s="5" t="str">
        <f>VLOOKUP(A55,schools!A55:B1803,2,FALSE)</f>
        <v>Harris-Hillman Special Education</v>
      </c>
      <c r="C55" s="5" t="str">
        <f>VLOOKUP(A55,schools!A55:F1803,5,FALSE)</f>
        <v>Nashville</v>
      </c>
      <c r="D55" s="5" t="s">
        <v>95</v>
      </c>
      <c r="E55" s="5" t="s">
        <v>18</v>
      </c>
      <c r="F55" s="5">
        <v>0</v>
      </c>
      <c r="G55" s="5">
        <v>0</v>
      </c>
      <c r="H55" s="5"/>
      <c r="I55" s="5"/>
      <c r="J55" s="5"/>
      <c r="K55" s="5"/>
      <c r="L55" s="5"/>
      <c r="M55" s="5">
        <v>0</v>
      </c>
      <c r="N55" s="5">
        <v>0</v>
      </c>
      <c r="O55" s="5" t="str">
        <f t="shared" si="0"/>
        <v>Below 20</v>
      </c>
      <c r="P55" s="5" t="str">
        <f t="shared" si="1"/>
        <v>Not all at least 20</v>
      </c>
    </row>
    <row r="56" spans="1:16" x14ac:dyDescent="0.35">
      <c r="A56" s="5" t="s">
        <v>102</v>
      </c>
      <c r="B56" s="5" t="str">
        <f>VLOOKUP(A56,schools!A56:B1804,2,FALSE)</f>
        <v>Hillsboro High</v>
      </c>
      <c r="C56" s="5" t="str">
        <f>VLOOKUP(A56,schools!A56:F1804,5,FALSE)</f>
        <v>Nashville</v>
      </c>
      <c r="D56" s="5" t="s">
        <v>95</v>
      </c>
      <c r="E56" s="5" t="s">
        <v>18</v>
      </c>
      <c r="F56" s="5">
        <v>233</v>
      </c>
      <c r="G56" s="5">
        <v>97</v>
      </c>
      <c r="H56" s="5">
        <v>20.6</v>
      </c>
      <c r="I56" s="5">
        <v>19.2</v>
      </c>
      <c r="J56" s="5">
        <v>21.9</v>
      </c>
      <c r="K56" s="5">
        <v>20.5</v>
      </c>
      <c r="L56" s="5">
        <v>20.7</v>
      </c>
      <c r="M56" s="5">
        <v>99</v>
      </c>
      <c r="N56" s="5">
        <v>89</v>
      </c>
      <c r="O56" s="5" t="str">
        <f t="shared" si="0"/>
        <v>At least 20</v>
      </c>
      <c r="P56" s="5" t="str">
        <f t="shared" si="1"/>
        <v>Not all at least 20</v>
      </c>
    </row>
    <row r="57" spans="1:16" x14ac:dyDescent="0.35">
      <c r="A57" s="5" t="s">
        <v>103</v>
      </c>
      <c r="B57" s="5" t="str">
        <f>VLOOKUP(A57,schools!A57:B1805,2,FALSE)</f>
        <v>Hillwood High</v>
      </c>
      <c r="C57" s="5" t="str">
        <f>VLOOKUP(A57,schools!A57:F1805,5,FALSE)</f>
        <v>Nashville</v>
      </c>
      <c r="D57" s="5" t="s">
        <v>95</v>
      </c>
      <c r="E57" s="5" t="s">
        <v>18</v>
      </c>
      <c r="F57" s="5">
        <v>216</v>
      </c>
      <c r="G57" s="5">
        <v>100</v>
      </c>
      <c r="H57" s="5">
        <v>19.100000000000001</v>
      </c>
      <c r="I57" s="5">
        <v>19</v>
      </c>
      <c r="J57" s="5">
        <v>20.3</v>
      </c>
      <c r="K57" s="5">
        <v>19.7</v>
      </c>
      <c r="L57" s="5">
        <v>19.7</v>
      </c>
      <c r="M57" s="5">
        <v>88</v>
      </c>
      <c r="N57" s="5">
        <v>93</v>
      </c>
      <c r="O57" s="5" t="str">
        <f t="shared" si="0"/>
        <v>Below 20</v>
      </c>
      <c r="P57" s="5" t="str">
        <f t="shared" si="1"/>
        <v>Not all at least 20</v>
      </c>
    </row>
    <row r="58" spans="1:16" x14ac:dyDescent="0.35">
      <c r="A58" s="5" t="s">
        <v>104</v>
      </c>
      <c r="B58" s="5" t="str">
        <f>VLOOKUP(A58,schools!A58:B1806,2,FALSE)</f>
        <v>Hume - Fogg High</v>
      </c>
      <c r="C58" s="5" t="str">
        <f>VLOOKUP(A58,schools!A58:F1806,5,FALSE)</f>
        <v>Nashville</v>
      </c>
      <c r="D58" s="5" t="s">
        <v>95</v>
      </c>
      <c r="E58" s="5" t="s">
        <v>18</v>
      </c>
      <c r="F58" s="5">
        <v>212</v>
      </c>
      <c r="G58" s="5">
        <v>100</v>
      </c>
      <c r="H58" s="5">
        <v>28.9</v>
      </c>
      <c r="I58" s="5">
        <v>26.6</v>
      </c>
      <c r="J58" s="5">
        <v>29.6</v>
      </c>
      <c r="K58" s="5">
        <v>27.9</v>
      </c>
      <c r="L58" s="5">
        <v>28.5</v>
      </c>
      <c r="M58" s="5" t="s">
        <v>41</v>
      </c>
      <c r="N58" s="5" t="s">
        <v>41</v>
      </c>
      <c r="O58" s="5" t="str">
        <f t="shared" si="0"/>
        <v>At least 20</v>
      </c>
      <c r="P58" s="5" t="str">
        <f t="shared" si="1"/>
        <v>All at least 20</v>
      </c>
    </row>
    <row r="59" spans="1:16" x14ac:dyDescent="0.35">
      <c r="A59" s="5" t="s">
        <v>105</v>
      </c>
      <c r="B59" s="5" t="str">
        <f>VLOOKUP(A59,schools!A59:B1807,2,FALSE)</f>
        <v>Hunters Lane High</v>
      </c>
      <c r="C59" s="5" t="str">
        <f>VLOOKUP(A59,schools!A59:F1807,5,FALSE)</f>
        <v>Nashville</v>
      </c>
      <c r="D59" s="5" t="s">
        <v>95</v>
      </c>
      <c r="E59" s="5" t="s">
        <v>18</v>
      </c>
      <c r="F59" s="5">
        <v>325</v>
      </c>
      <c r="G59" s="5">
        <v>86</v>
      </c>
      <c r="H59" s="5">
        <v>15.1</v>
      </c>
      <c r="I59" s="5">
        <v>16.3</v>
      </c>
      <c r="J59" s="5">
        <v>16.600000000000001</v>
      </c>
      <c r="K59" s="5">
        <v>16.3</v>
      </c>
      <c r="L59" s="5">
        <v>16.2</v>
      </c>
      <c r="M59" s="5">
        <v>43</v>
      </c>
      <c r="N59" s="5">
        <v>250</v>
      </c>
      <c r="O59" s="5" t="str">
        <f t="shared" si="0"/>
        <v>Below 20</v>
      </c>
      <c r="P59" s="5" t="str">
        <f t="shared" si="1"/>
        <v>Not all at least 20</v>
      </c>
    </row>
    <row r="60" spans="1:16" x14ac:dyDescent="0.35">
      <c r="A60" s="5" t="s">
        <v>106</v>
      </c>
      <c r="B60" s="5" t="str">
        <f>VLOOKUP(A60,schools!A60:B1808,2,FALSE)</f>
        <v>John Overton High</v>
      </c>
      <c r="C60" s="5" t="str">
        <f>VLOOKUP(A60,schools!A60:F1808,5,FALSE)</f>
        <v>Nashville</v>
      </c>
      <c r="D60" s="5" t="s">
        <v>95</v>
      </c>
      <c r="E60" s="5" t="s">
        <v>18</v>
      </c>
      <c r="F60" s="5">
        <v>431</v>
      </c>
      <c r="G60" s="5">
        <v>96</v>
      </c>
      <c r="H60" s="5">
        <v>17.399999999999999</v>
      </c>
      <c r="I60" s="5">
        <v>17.899999999999999</v>
      </c>
      <c r="J60" s="5">
        <v>18.7</v>
      </c>
      <c r="K60" s="5">
        <v>18.5</v>
      </c>
      <c r="L60" s="5">
        <v>18.3</v>
      </c>
      <c r="M60" s="5">
        <v>120</v>
      </c>
      <c r="N60" s="5">
        <v>255</v>
      </c>
      <c r="O60" s="5" t="str">
        <f t="shared" si="0"/>
        <v>Below 20</v>
      </c>
      <c r="P60" s="5" t="str">
        <f t="shared" si="1"/>
        <v>Not all at least 20</v>
      </c>
    </row>
    <row r="61" spans="1:16" x14ac:dyDescent="0.35">
      <c r="A61" s="5" t="s">
        <v>107</v>
      </c>
      <c r="B61" s="5" t="str">
        <f>VLOOKUP(A61,schools!A61:B1809,2,FALSE)</f>
        <v>Middle College High</v>
      </c>
      <c r="C61" s="5" t="str">
        <f>VLOOKUP(A61,schools!A61:F1809,5,FALSE)</f>
        <v>Nashville</v>
      </c>
      <c r="D61" s="5" t="s">
        <v>95</v>
      </c>
      <c r="E61" s="5" t="s">
        <v>18</v>
      </c>
      <c r="F61" s="5">
        <v>34</v>
      </c>
      <c r="G61" s="5">
        <v>92</v>
      </c>
      <c r="H61" s="5">
        <v>21.7</v>
      </c>
      <c r="I61" s="5">
        <v>20.2</v>
      </c>
      <c r="J61" s="5">
        <v>23</v>
      </c>
      <c r="K61" s="5">
        <v>21.5</v>
      </c>
      <c r="L61" s="5">
        <v>21.8</v>
      </c>
      <c r="M61" s="5">
        <v>18</v>
      </c>
      <c r="N61" s="5">
        <v>9</v>
      </c>
      <c r="O61" s="5" t="str">
        <f t="shared" si="0"/>
        <v>At least 20</v>
      </c>
      <c r="P61" s="5" t="str">
        <f t="shared" si="1"/>
        <v>All at least 20</v>
      </c>
    </row>
    <row r="62" spans="1:16" x14ac:dyDescent="0.35">
      <c r="A62" s="5" t="s">
        <v>108</v>
      </c>
      <c r="B62" s="5" t="str">
        <f>VLOOKUP(A62,schools!A62:B1810,2,FALSE)</f>
        <v>Cora Howe School</v>
      </c>
      <c r="C62" s="5" t="str">
        <f>VLOOKUP(A62,schools!A62:F1810,5,FALSE)</f>
        <v>Nashville</v>
      </c>
      <c r="D62" s="5" t="s">
        <v>95</v>
      </c>
      <c r="E62" s="5" t="s">
        <v>18</v>
      </c>
      <c r="F62" s="5">
        <v>6</v>
      </c>
      <c r="G62" s="5" t="s">
        <v>44</v>
      </c>
      <c r="H62" s="5" t="s">
        <v>44</v>
      </c>
      <c r="I62" s="5" t="s">
        <v>44</v>
      </c>
      <c r="J62" s="5" t="s">
        <v>44</v>
      </c>
      <c r="K62" s="5" t="s">
        <v>44</v>
      </c>
      <c r="L62" s="5" t="s">
        <v>44</v>
      </c>
      <c r="M62" s="5" t="s">
        <v>44</v>
      </c>
      <c r="N62" s="5" t="s">
        <v>44</v>
      </c>
      <c r="O62" s="5" t="str">
        <f t="shared" si="0"/>
        <v>Score Not Available</v>
      </c>
      <c r="P62" s="5" t="str">
        <f t="shared" si="1"/>
        <v>Not all at least 20</v>
      </c>
    </row>
    <row r="63" spans="1:16" x14ac:dyDescent="0.35">
      <c r="A63" s="5" t="s">
        <v>109</v>
      </c>
      <c r="B63" s="5" t="str">
        <f>VLOOKUP(A63,schools!A63:B1811,2,FALSE)</f>
        <v>Maplewood High</v>
      </c>
      <c r="C63" s="5" t="str">
        <f>VLOOKUP(A63,schools!A63:F1811,5,FALSE)</f>
        <v>Nashville</v>
      </c>
      <c r="D63" s="5" t="s">
        <v>95</v>
      </c>
      <c r="E63" s="5" t="s">
        <v>18</v>
      </c>
      <c r="F63" s="5">
        <v>178</v>
      </c>
      <c r="G63" s="5">
        <v>98</v>
      </c>
      <c r="H63" s="5">
        <v>14.3</v>
      </c>
      <c r="I63" s="5">
        <v>16</v>
      </c>
      <c r="J63" s="5">
        <v>15.5</v>
      </c>
      <c r="K63" s="5">
        <v>15.9</v>
      </c>
      <c r="L63" s="5">
        <v>15.6</v>
      </c>
      <c r="M63" s="5">
        <v>15</v>
      </c>
      <c r="N63" s="5">
        <v>151</v>
      </c>
      <c r="O63" s="5" t="str">
        <f t="shared" si="0"/>
        <v>Below 20</v>
      </c>
      <c r="P63" s="5" t="str">
        <f t="shared" si="1"/>
        <v>Not all at least 20</v>
      </c>
    </row>
    <row r="64" spans="1:16" x14ac:dyDescent="0.35">
      <c r="A64" s="5" t="s">
        <v>110</v>
      </c>
      <c r="B64" s="5" t="str">
        <f>VLOOKUP(A64,schools!A64:B1812,2,FALSE)</f>
        <v>Martin Luther King Jr School</v>
      </c>
      <c r="C64" s="5" t="str">
        <f>VLOOKUP(A64,schools!A64:F1812,5,FALSE)</f>
        <v>Nashville</v>
      </c>
      <c r="D64" s="5" t="s">
        <v>95</v>
      </c>
      <c r="E64" s="5" t="s">
        <v>18</v>
      </c>
      <c r="F64" s="5">
        <v>240</v>
      </c>
      <c r="G64" s="5">
        <v>100</v>
      </c>
      <c r="H64" s="5">
        <v>27.6</v>
      </c>
      <c r="I64" s="5">
        <v>26.8</v>
      </c>
      <c r="J64" s="5">
        <v>28.1</v>
      </c>
      <c r="K64" s="5">
        <v>26.6</v>
      </c>
      <c r="L64" s="5">
        <v>27.4</v>
      </c>
      <c r="M64" s="5" t="s">
        <v>41</v>
      </c>
      <c r="N64" s="5" t="s">
        <v>41</v>
      </c>
      <c r="O64" s="5" t="str">
        <f t="shared" si="0"/>
        <v>At least 20</v>
      </c>
      <c r="P64" s="5" t="str">
        <f t="shared" si="1"/>
        <v>All at least 20</v>
      </c>
    </row>
    <row r="65" spans="1:16" x14ac:dyDescent="0.35">
      <c r="A65" s="5" t="s">
        <v>111</v>
      </c>
      <c r="B65" s="5" t="str">
        <f>VLOOKUP(A65,schools!A65:B1813,2,FALSE)</f>
        <v>McGavock High</v>
      </c>
      <c r="C65" s="5" t="str">
        <f>VLOOKUP(A65,schools!A65:F1813,5,FALSE)</f>
        <v>Nashville</v>
      </c>
      <c r="D65" s="5" t="s">
        <v>95</v>
      </c>
      <c r="E65" s="5" t="s">
        <v>18</v>
      </c>
      <c r="F65" s="5">
        <v>370</v>
      </c>
      <c r="G65" s="5">
        <v>89</v>
      </c>
      <c r="H65" s="5">
        <v>18.7</v>
      </c>
      <c r="I65" s="5">
        <v>18.100000000000001</v>
      </c>
      <c r="J65" s="5">
        <v>20.399999999999999</v>
      </c>
      <c r="K65" s="5">
        <v>19.5</v>
      </c>
      <c r="L65" s="5">
        <v>19.3</v>
      </c>
      <c r="M65" s="5">
        <v>133</v>
      </c>
      <c r="N65" s="5">
        <v>183</v>
      </c>
      <c r="O65" s="5" t="str">
        <f t="shared" si="0"/>
        <v>Below 20</v>
      </c>
      <c r="P65" s="5" t="str">
        <f t="shared" si="1"/>
        <v>Not all at least 20</v>
      </c>
    </row>
    <row r="66" spans="1:16" x14ac:dyDescent="0.35">
      <c r="A66" s="5" t="s">
        <v>112</v>
      </c>
      <c r="B66" s="5" t="str">
        <f>VLOOKUP(A66,schools!A66:B1814,2,FALSE)</f>
        <v>Nashville School Of The Arts</v>
      </c>
      <c r="C66" s="5" t="str">
        <f>VLOOKUP(A66,schools!A66:F1814,5,FALSE)</f>
        <v>Nashville</v>
      </c>
      <c r="D66" s="5" t="s">
        <v>95</v>
      </c>
      <c r="E66" s="5" t="s">
        <v>18</v>
      </c>
      <c r="F66" s="5">
        <v>120</v>
      </c>
      <c r="G66" s="5">
        <v>96</v>
      </c>
      <c r="H66" s="5">
        <v>22.1</v>
      </c>
      <c r="I66" s="5">
        <v>18.899999999999999</v>
      </c>
      <c r="J66" s="5">
        <v>22.4</v>
      </c>
      <c r="K66" s="5">
        <v>20.7</v>
      </c>
      <c r="L66" s="5">
        <v>21.1</v>
      </c>
      <c r="M66" s="5">
        <v>59</v>
      </c>
      <c r="N66" s="5">
        <v>33</v>
      </c>
      <c r="O66" s="5" t="str">
        <f t="shared" si="0"/>
        <v>At least 20</v>
      </c>
      <c r="P66" s="5" t="str">
        <f t="shared" si="1"/>
        <v>Not all at least 20</v>
      </c>
    </row>
    <row r="67" spans="1:16" x14ac:dyDescent="0.35">
      <c r="A67" s="5" t="s">
        <v>113</v>
      </c>
      <c r="B67" s="5" t="str">
        <f>VLOOKUP(A67,schools!A67:B1815,2,FALSE)</f>
        <v>Pearl-Cohn High</v>
      </c>
      <c r="C67" s="5" t="str">
        <f>VLOOKUP(A67,schools!A67:F1815,5,FALSE)</f>
        <v>Nashville</v>
      </c>
      <c r="D67" s="5" t="s">
        <v>95</v>
      </c>
      <c r="E67" s="5" t="s">
        <v>18</v>
      </c>
      <c r="F67" s="5">
        <v>140</v>
      </c>
      <c r="G67" s="5">
        <v>99</v>
      </c>
      <c r="H67" s="5">
        <v>14.3</v>
      </c>
      <c r="I67" s="5">
        <v>15.9</v>
      </c>
      <c r="J67" s="5">
        <v>15.6</v>
      </c>
      <c r="K67" s="5">
        <v>16.100000000000001</v>
      </c>
      <c r="L67" s="5">
        <v>15.6</v>
      </c>
      <c r="M67" s="5">
        <v>10</v>
      </c>
      <c r="N67" s="5">
        <v>121</v>
      </c>
      <c r="O67" s="5" t="str">
        <f t="shared" ref="O67:O130" si="2">IFERROR(VLOOKUP(L67,$Q$2:$S$4,3,TRUE), "Score Not Available")</f>
        <v>Below 20</v>
      </c>
      <c r="P67" s="5" t="str">
        <f t="shared" ref="P67:P130" si="3">IFERROR(IF(MIN(H67,I67,J67,K67)&gt;20,"All at least 20", "Not all at least 20"),"Scores Not Available")</f>
        <v>Not all at least 20</v>
      </c>
    </row>
    <row r="68" spans="1:16" x14ac:dyDescent="0.35">
      <c r="A68" s="5" t="s">
        <v>114</v>
      </c>
      <c r="B68" s="5" t="str">
        <f>VLOOKUP(A68,schools!A68:B1816,2,FALSE)</f>
        <v>The Academy at Opry Mills</v>
      </c>
      <c r="C68" s="5" t="str">
        <f>VLOOKUP(A68,schools!A68:F1816,5,FALSE)</f>
        <v>Nashville</v>
      </c>
      <c r="D68" s="5" t="s">
        <v>95</v>
      </c>
      <c r="E68" s="5" t="s">
        <v>18</v>
      </c>
      <c r="F68" s="5">
        <v>45</v>
      </c>
      <c r="G68" s="5">
        <v>88</v>
      </c>
      <c r="H68" s="5">
        <v>16.5</v>
      </c>
      <c r="I68" s="5">
        <v>17.2</v>
      </c>
      <c r="J68" s="5">
        <v>17.3</v>
      </c>
      <c r="K68" s="5">
        <v>17.5</v>
      </c>
      <c r="L68" s="5">
        <v>17.2</v>
      </c>
      <c r="M68" s="5">
        <v>9</v>
      </c>
      <c r="N68" s="5">
        <v>32</v>
      </c>
      <c r="O68" s="5" t="str">
        <f t="shared" si="2"/>
        <v>Below 20</v>
      </c>
      <c r="P68" s="5" t="str">
        <f t="shared" si="3"/>
        <v>Not all at least 20</v>
      </c>
    </row>
    <row r="69" spans="1:16" x14ac:dyDescent="0.35">
      <c r="A69" s="5" t="s">
        <v>115</v>
      </c>
      <c r="B69" s="5" t="str">
        <f>VLOOKUP(A69,schools!A69:B1817,2,FALSE)</f>
        <v>The Academy at Old Cockrill</v>
      </c>
      <c r="C69" s="5" t="str">
        <f>VLOOKUP(A69,schools!A69:F1817,5,FALSE)</f>
        <v>Nashville</v>
      </c>
      <c r="D69" s="5" t="s">
        <v>95</v>
      </c>
      <c r="E69" s="5" t="s">
        <v>18</v>
      </c>
      <c r="F69" s="5">
        <v>56</v>
      </c>
      <c r="G69" s="5">
        <v>79</v>
      </c>
      <c r="H69" s="5">
        <v>16.600000000000001</v>
      </c>
      <c r="I69" s="5">
        <v>17.2</v>
      </c>
      <c r="J69" s="5">
        <v>18.3</v>
      </c>
      <c r="K69" s="5">
        <v>17.600000000000001</v>
      </c>
      <c r="L69" s="5">
        <v>17.399999999999999</v>
      </c>
      <c r="M69" s="5">
        <v>15</v>
      </c>
      <c r="N69" s="5">
        <v>36</v>
      </c>
      <c r="O69" s="5" t="str">
        <f t="shared" si="2"/>
        <v>Below 20</v>
      </c>
      <c r="P69" s="5" t="str">
        <f t="shared" si="3"/>
        <v>Not all at least 20</v>
      </c>
    </row>
    <row r="70" spans="1:16" x14ac:dyDescent="0.35">
      <c r="A70" s="5" t="s">
        <v>116</v>
      </c>
      <c r="B70" s="5" t="str">
        <f>VLOOKUP(A70,schools!A70:B1818,2,FALSE)</f>
        <v>Stratford STEM Magnet School</v>
      </c>
      <c r="C70" s="5" t="str">
        <f>VLOOKUP(A70,schools!A70:F1818,5,FALSE)</f>
        <v>Nashville</v>
      </c>
      <c r="D70" s="5" t="s">
        <v>95</v>
      </c>
      <c r="E70" s="5" t="s">
        <v>18</v>
      </c>
      <c r="F70" s="5">
        <v>152</v>
      </c>
      <c r="G70" s="5">
        <v>91</v>
      </c>
      <c r="H70" s="5">
        <v>15.1</v>
      </c>
      <c r="I70" s="5">
        <v>16.2</v>
      </c>
      <c r="J70" s="5">
        <v>16.600000000000001</v>
      </c>
      <c r="K70" s="5">
        <v>16.8</v>
      </c>
      <c r="L70" s="5">
        <v>16.2</v>
      </c>
      <c r="M70" s="5">
        <v>16</v>
      </c>
      <c r="N70" s="5">
        <v>112</v>
      </c>
      <c r="O70" s="5" t="str">
        <f t="shared" si="2"/>
        <v>Below 20</v>
      </c>
      <c r="P70" s="5" t="str">
        <f t="shared" si="3"/>
        <v>Not all at least 20</v>
      </c>
    </row>
    <row r="71" spans="1:16" x14ac:dyDescent="0.35">
      <c r="A71" s="5" t="s">
        <v>117</v>
      </c>
      <c r="B71" s="5" t="str">
        <f>VLOOKUP(A71,schools!A71:B1819,2,FALSE)</f>
        <v>Whites Creek High</v>
      </c>
      <c r="C71" s="5" t="str">
        <f>VLOOKUP(A71,schools!A71:F1819,5,FALSE)</f>
        <v>Whites Creek</v>
      </c>
      <c r="D71" s="5" t="s">
        <v>95</v>
      </c>
      <c r="E71" s="5" t="s">
        <v>18</v>
      </c>
      <c r="F71" s="5">
        <v>139</v>
      </c>
      <c r="G71" s="5">
        <v>97</v>
      </c>
      <c r="H71" s="5">
        <v>14.7</v>
      </c>
      <c r="I71" s="5">
        <v>16.100000000000001</v>
      </c>
      <c r="J71" s="5">
        <v>16.100000000000001</v>
      </c>
      <c r="K71" s="5">
        <v>16.600000000000001</v>
      </c>
      <c r="L71" s="5">
        <v>16</v>
      </c>
      <c r="M71" s="5">
        <v>13</v>
      </c>
      <c r="N71" s="5">
        <v>109</v>
      </c>
      <c r="O71" s="5" t="str">
        <f t="shared" si="2"/>
        <v>Below 20</v>
      </c>
      <c r="P71" s="5" t="str">
        <f t="shared" si="3"/>
        <v>Not all at least 20</v>
      </c>
    </row>
    <row r="72" spans="1:16" x14ac:dyDescent="0.35">
      <c r="A72" s="5" t="s">
        <v>118</v>
      </c>
      <c r="B72" s="5" t="str">
        <f>VLOOKUP(A72,schools!A72:B1820,2,FALSE)</f>
        <v>The Academy at Hickory Hollow</v>
      </c>
      <c r="C72" s="5" t="str">
        <f>VLOOKUP(A72,schools!A72:F1820,5,FALSE)</f>
        <v>Antioch</v>
      </c>
      <c r="D72" s="5" t="s">
        <v>95</v>
      </c>
      <c r="E72" s="5" t="s">
        <v>18</v>
      </c>
      <c r="F72" s="5">
        <v>77</v>
      </c>
      <c r="G72" s="5">
        <v>85</v>
      </c>
      <c r="H72" s="5">
        <v>14.2</v>
      </c>
      <c r="I72" s="5">
        <v>15.9</v>
      </c>
      <c r="J72" s="5">
        <v>15.4</v>
      </c>
      <c r="K72" s="5">
        <v>15.3</v>
      </c>
      <c r="L72" s="5">
        <v>15.4</v>
      </c>
      <c r="M72" s="5">
        <v>7</v>
      </c>
      <c r="N72" s="5">
        <v>64</v>
      </c>
      <c r="O72" s="5" t="str">
        <f t="shared" si="2"/>
        <v>Below 20</v>
      </c>
      <c r="P72" s="5" t="str">
        <f t="shared" si="3"/>
        <v>Not all at least 20</v>
      </c>
    </row>
    <row r="73" spans="1:16" x14ac:dyDescent="0.35">
      <c r="A73" s="5" t="s">
        <v>119</v>
      </c>
      <c r="B73" s="5" t="str">
        <f>VLOOKUP(A73,schools!A73:B1821,2,FALSE)</f>
        <v>Johnson Alternative Learning Center</v>
      </c>
      <c r="C73" s="5" t="str">
        <f>VLOOKUP(A73,schools!A73:F1821,5,FALSE)</f>
        <v>Nashville</v>
      </c>
      <c r="D73" s="5" t="s">
        <v>95</v>
      </c>
      <c r="E73" s="5" t="s">
        <v>18</v>
      </c>
      <c r="F73" s="5">
        <v>1</v>
      </c>
      <c r="G73" s="5" t="s">
        <v>44</v>
      </c>
      <c r="H73" s="5" t="s">
        <v>44</v>
      </c>
      <c r="I73" s="5" t="s">
        <v>44</v>
      </c>
      <c r="J73" s="5" t="s">
        <v>44</v>
      </c>
      <c r="K73" s="5" t="s">
        <v>44</v>
      </c>
      <c r="L73" s="5" t="s">
        <v>44</v>
      </c>
      <c r="M73" s="5" t="s">
        <v>44</v>
      </c>
      <c r="N73" s="5" t="s">
        <v>44</v>
      </c>
      <c r="O73" s="5" t="str">
        <f t="shared" si="2"/>
        <v>Score Not Available</v>
      </c>
      <c r="P73" s="5" t="str">
        <f t="shared" si="3"/>
        <v>Not all at least 20</v>
      </c>
    </row>
    <row r="74" spans="1:16" x14ac:dyDescent="0.35">
      <c r="A74" s="5" t="s">
        <v>120</v>
      </c>
      <c r="B74" s="5" t="str">
        <f>VLOOKUP(A74,schools!A74:B1822,2,FALSE)</f>
        <v>Lead Academy</v>
      </c>
      <c r="C74" s="5" t="str">
        <f>VLOOKUP(A74,schools!A74:F1822,5,FALSE)</f>
        <v>Nashville</v>
      </c>
      <c r="D74" s="5" t="s">
        <v>95</v>
      </c>
      <c r="E74" s="5" t="s">
        <v>18</v>
      </c>
      <c r="F74" s="5">
        <v>47</v>
      </c>
      <c r="G74" s="5">
        <v>100</v>
      </c>
      <c r="H74" s="5">
        <v>18.3</v>
      </c>
      <c r="I74" s="5">
        <v>17.899999999999999</v>
      </c>
      <c r="J74" s="5">
        <v>18.600000000000001</v>
      </c>
      <c r="K74" s="5">
        <v>19.7</v>
      </c>
      <c r="L74" s="5">
        <v>18.7</v>
      </c>
      <c r="M74" s="5">
        <v>14</v>
      </c>
      <c r="N74" s="5">
        <v>25</v>
      </c>
      <c r="O74" s="5" t="str">
        <f t="shared" si="2"/>
        <v>Below 20</v>
      </c>
      <c r="P74" s="5" t="str">
        <f t="shared" si="3"/>
        <v>Not all at least 20</v>
      </c>
    </row>
    <row r="75" spans="1:16" x14ac:dyDescent="0.35">
      <c r="A75" s="5" t="s">
        <v>121</v>
      </c>
      <c r="B75" s="5" t="str">
        <f>VLOOKUP(A75,schools!A75:B1823,2,FALSE)</f>
        <v>KIPP Nashville Collegiate High School</v>
      </c>
      <c r="C75" s="5" t="str">
        <f>VLOOKUP(A75,schools!A75:F1823,5,FALSE)</f>
        <v>Nashville</v>
      </c>
      <c r="D75" s="5" t="s">
        <v>95</v>
      </c>
      <c r="E75" s="5" t="s">
        <v>18</v>
      </c>
      <c r="F75" s="5">
        <v>55</v>
      </c>
      <c r="G75" s="5">
        <v>100</v>
      </c>
      <c r="H75" s="5">
        <v>22.5</v>
      </c>
      <c r="I75" s="5">
        <v>23.1</v>
      </c>
      <c r="J75" s="5">
        <v>22.3</v>
      </c>
      <c r="K75" s="5">
        <v>20.7</v>
      </c>
      <c r="L75" s="5">
        <v>22.3</v>
      </c>
      <c r="M75" s="5">
        <v>35</v>
      </c>
      <c r="N75" s="5">
        <v>11</v>
      </c>
      <c r="O75" s="5" t="str">
        <f t="shared" si="2"/>
        <v>At least 20</v>
      </c>
      <c r="P75" s="5" t="str">
        <f t="shared" si="3"/>
        <v>All at least 20</v>
      </c>
    </row>
    <row r="76" spans="1:16" x14ac:dyDescent="0.35">
      <c r="A76" s="5" t="s">
        <v>122</v>
      </c>
      <c r="B76" s="5" t="str">
        <f>VLOOKUP(A76,schools!A76:B1824,2,FALSE)</f>
        <v>Riverside High School</v>
      </c>
      <c r="C76" s="5" t="str">
        <f>VLOOKUP(A76,schools!A76:F1824,5,FALSE)</f>
        <v>Decaturville</v>
      </c>
      <c r="D76" s="5" t="s">
        <v>123</v>
      </c>
      <c r="E76" s="5" t="s">
        <v>18</v>
      </c>
      <c r="F76" s="5">
        <v>119</v>
      </c>
      <c r="G76" s="5">
        <v>98</v>
      </c>
      <c r="H76" s="5">
        <v>19</v>
      </c>
      <c r="I76" s="5">
        <v>17.5</v>
      </c>
      <c r="J76" s="5">
        <v>20.399999999999999</v>
      </c>
      <c r="K76" s="5">
        <v>19.3</v>
      </c>
      <c r="L76" s="5">
        <v>19.2</v>
      </c>
      <c r="M76" s="5">
        <v>35</v>
      </c>
      <c r="N76" s="5">
        <v>62</v>
      </c>
      <c r="O76" s="5" t="str">
        <f t="shared" si="2"/>
        <v>Below 20</v>
      </c>
      <c r="P76" s="5" t="str">
        <f t="shared" si="3"/>
        <v>Not all at least 20</v>
      </c>
    </row>
    <row r="77" spans="1:16" x14ac:dyDescent="0.35">
      <c r="A77" s="5" t="s">
        <v>124</v>
      </c>
      <c r="B77" s="5" t="str">
        <f>VLOOKUP(A77,schools!A77:B1825,2,FALSE)</f>
        <v>De Kalb County High School</v>
      </c>
      <c r="C77" s="5" t="str">
        <f>VLOOKUP(A77,schools!A77:F1825,5,FALSE)</f>
        <v>Smithville</v>
      </c>
      <c r="D77" s="5" t="s">
        <v>125</v>
      </c>
      <c r="E77" s="5" t="s">
        <v>18</v>
      </c>
      <c r="F77" s="5">
        <v>174</v>
      </c>
      <c r="G77" s="5">
        <v>97</v>
      </c>
      <c r="H77" s="5">
        <v>18</v>
      </c>
      <c r="I77" s="5">
        <v>18.100000000000001</v>
      </c>
      <c r="J77" s="5">
        <v>19.2</v>
      </c>
      <c r="K77" s="5">
        <v>19.399999999999999</v>
      </c>
      <c r="L77" s="5">
        <v>18.8</v>
      </c>
      <c r="M77" s="5">
        <v>65</v>
      </c>
      <c r="N77" s="5">
        <v>85</v>
      </c>
      <c r="O77" s="5" t="str">
        <f t="shared" si="2"/>
        <v>Below 20</v>
      </c>
      <c r="P77" s="5" t="str">
        <f t="shared" si="3"/>
        <v>Not all at least 20</v>
      </c>
    </row>
    <row r="78" spans="1:16" x14ac:dyDescent="0.35">
      <c r="A78" s="5" t="s">
        <v>126</v>
      </c>
      <c r="B78" s="5" t="str">
        <f>VLOOKUP(A78,schools!A78:B1826,2,FALSE)</f>
        <v>Creek Wood High School</v>
      </c>
      <c r="C78" s="5" t="str">
        <f>VLOOKUP(A78,schools!A78:F1826,5,FALSE)</f>
        <v>Charlotte</v>
      </c>
      <c r="D78" s="5" t="s">
        <v>127</v>
      </c>
      <c r="E78" s="5" t="s">
        <v>18</v>
      </c>
      <c r="F78" s="5">
        <v>213</v>
      </c>
      <c r="G78" s="5">
        <v>99</v>
      </c>
      <c r="H78" s="5">
        <v>18.600000000000001</v>
      </c>
      <c r="I78" s="5">
        <v>18.399999999999999</v>
      </c>
      <c r="J78" s="5">
        <v>20</v>
      </c>
      <c r="K78" s="5">
        <v>20.2</v>
      </c>
      <c r="L78" s="5">
        <v>19.399999999999999</v>
      </c>
      <c r="M78" s="5">
        <v>83</v>
      </c>
      <c r="N78" s="5">
        <v>100</v>
      </c>
      <c r="O78" s="5" t="str">
        <f t="shared" si="2"/>
        <v>Below 20</v>
      </c>
      <c r="P78" s="5" t="str">
        <f t="shared" si="3"/>
        <v>Not all at least 20</v>
      </c>
    </row>
    <row r="79" spans="1:16" x14ac:dyDescent="0.35">
      <c r="A79" s="5" t="s">
        <v>128</v>
      </c>
      <c r="B79" s="5" t="str">
        <f>VLOOKUP(A79,schools!A79:B1827,2,FALSE)</f>
        <v>Dickson County High School</v>
      </c>
      <c r="C79" s="5" t="str">
        <f>VLOOKUP(A79,schools!A79:F1827,5,FALSE)</f>
        <v>Dickson</v>
      </c>
      <c r="D79" s="5" t="s">
        <v>127</v>
      </c>
      <c r="E79" s="5" t="s">
        <v>18</v>
      </c>
      <c r="F79" s="5">
        <v>342</v>
      </c>
      <c r="G79" s="5">
        <v>99</v>
      </c>
      <c r="H79" s="5">
        <v>19.600000000000001</v>
      </c>
      <c r="I79" s="5">
        <v>19</v>
      </c>
      <c r="J79" s="5">
        <v>20</v>
      </c>
      <c r="K79" s="5">
        <v>20.2</v>
      </c>
      <c r="L79" s="5">
        <v>19.8</v>
      </c>
      <c r="M79" s="5">
        <v>135</v>
      </c>
      <c r="N79" s="5">
        <v>147</v>
      </c>
      <c r="O79" s="5" t="str">
        <f t="shared" si="2"/>
        <v>Below 20</v>
      </c>
      <c r="P79" s="5" t="str">
        <f t="shared" si="3"/>
        <v>Not all at least 20</v>
      </c>
    </row>
    <row r="80" spans="1:16" x14ac:dyDescent="0.35">
      <c r="A80" s="5" t="s">
        <v>129</v>
      </c>
      <c r="B80" s="5" t="str">
        <f>VLOOKUP(A80,schools!A80:B1828,2,FALSE)</f>
        <v>Dyer County High School</v>
      </c>
      <c r="C80" s="5" t="str">
        <f>VLOOKUP(A80,schools!A80:F1828,5,FALSE)</f>
        <v>Newbern</v>
      </c>
      <c r="D80" s="5" t="s">
        <v>130</v>
      </c>
      <c r="E80" s="5" t="s">
        <v>18</v>
      </c>
      <c r="F80" s="5">
        <v>260</v>
      </c>
      <c r="G80" s="5">
        <v>100</v>
      </c>
      <c r="H80" s="5">
        <v>20.9</v>
      </c>
      <c r="I80" s="5">
        <v>20</v>
      </c>
      <c r="J80" s="5">
        <v>20.9</v>
      </c>
      <c r="K80" s="5">
        <v>20.6</v>
      </c>
      <c r="L80" s="5">
        <v>20.7</v>
      </c>
      <c r="M80" s="5">
        <v>129</v>
      </c>
      <c r="N80" s="5">
        <v>96</v>
      </c>
      <c r="O80" s="5" t="str">
        <f t="shared" si="2"/>
        <v>At least 20</v>
      </c>
      <c r="P80" s="5" t="str">
        <f t="shared" si="3"/>
        <v>Not all at least 20</v>
      </c>
    </row>
    <row r="81" spans="1:16" x14ac:dyDescent="0.35">
      <c r="A81" s="5" t="s">
        <v>131</v>
      </c>
      <c r="B81" s="5" t="str">
        <f>VLOOKUP(A81,schools!A81:B1829,2,FALSE)</f>
        <v>Dyersburg High School</v>
      </c>
      <c r="C81" s="5" t="str">
        <f>VLOOKUP(A81,schools!A81:F1829,5,FALSE)</f>
        <v>Dyersburg</v>
      </c>
      <c r="D81" s="5" t="s">
        <v>132</v>
      </c>
      <c r="E81" s="5" t="s">
        <v>18</v>
      </c>
      <c r="F81" s="5">
        <v>147</v>
      </c>
      <c r="G81" s="5">
        <v>100</v>
      </c>
      <c r="H81" s="5">
        <v>20.5</v>
      </c>
      <c r="I81" s="5">
        <v>20.6</v>
      </c>
      <c r="J81" s="5">
        <v>20.7</v>
      </c>
      <c r="K81" s="5">
        <v>20</v>
      </c>
      <c r="L81" s="5">
        <v>20.6</v>
      </c>
      <c r="M81" s="5">
        <v>67</v>
      </c>
      <c r="N81" s="5">
        <v>61</v>
      </c>
      <c r="O81" s="5" t="str">
        <f t="shared" si="2"/>
        <v>At least 20</v>
      </c>
      <c r="P81" s="5" t="str">
        <f t="shared" si="3"/>
        <v>Not all at least 20</v>
      </c>
    </row>
    <row r="82" spans="1:16" x14ac:dyDescent="0.35">
      <c r="A82" s="5" t="s">
        <v>133</v>
      </c>
      <c r="B82" s="5" t="str">
        <f>VLOOKUP(A82,schools!A82:B1830,2,FALSE)</f>
        <v>Fayette Ware Comprehensive High School</v>
      </c>
      <c r="C82" s="5" t="str">
        <f>VLOOKUP(A82,schools!A82:F1830,5,FALSE)</f>
        <v>Somerville</v>
      </c>
      <c r="D82" s="5" t="s">
        <v>134</v>
      </c>
      <c r="E82" s="5" t="s">
        <v>18</v>
      </c>
      <c r="F82" s="5">
        <v>181</v>
      </c>
      <c r="G82" s="5">
        <v>97</v>
      </c>
      <c r="H82" s="5">
        <v>16.8</v>
      </c>
      <c r="I82" s="5">
        <v>16.7</v>
      </c>
      <c r="J82" s="5">
        <v>17.8</v>
      </c>
      <c r="K82" s="5">
        <v>17.3</v>
      </c>
      <c r="L82" s="5">
        <v>17.3</v>
      </c>
      <c r="M82" s="5">
        <v>36</v>
      </c>
      <c r="N82" s="5">
        <v>123</v>
      </c>
      <c r="O82" s="5" t="str">
        <f t="shared" si="2"/>
        <v>Below 20</v>
      </c>
      <c r="P82" s="5" t="str">
        <f t="shared" si="3"/>
        <v>Not all at least 20</v>
      </c>
    </row>
    <row r="83" spans="1:16" x14ac:dyDescent="0.35">
      <c r="A83" s="5" t="s">
        <v>135</v>
      </c>
      <c r="B83" s="5" t="str">
        <f>VLOOKUP(A83,schools!A83:B1831,2,FALSE)</f>
        <v>Clarkrange High School</v>
      </c>
      <c r="C83" s="5" t="str">
        <f>VLOOKUP(A83,schools!A83:F1831,5,FALSE)</f>
        <v>Clarkrange</v>
      </c>
      <c r="D83" s="5" t="s">
        <v>136</v>
      </c>
      <c r="E83" s="5" t="s">
        <v>18</v>
      </c>
      <c r="F83" s="5">
        <v>54</v>
      </c>
      <c r="G83" s="5">
        <v>98</v>
      </c>
      <c r="H83" s="5">
        <v>19.399999999999999</v>
      </c>
      <c r="I83" s="5">
        <v>19.600000000000001</v>
      </c>
      <c r="J83" s="5">
        <v>19.600000000000001</v>
      </c>
      <c r="K83" s="5">
        <v>19.7</v>
      </c>
      <c r="L83" s="5">
        <v>19.7</v>
      </c>
      <c r="M83" s="5">
        <v>24</v>
      </c>
      <c r="N83" s="5">
        <v>25</v>
      </c>
      <c r="O83" s="5" t="str">
        <f t="shared" si="2"/>
        <v>Below 20</v>
      </c>
      <c r="P83" s="5" t="str">
        <f t="shared" si="3"/>
        <v>Not all at least 20</v>
      </c>
    </row>
    <row r="84" spans="1:16" x14ac:dyDescent="0.35">
      <c r="A84" s="5" t="s">
        <v>137</v>
      </c>
      <c r="B84" s="5" t="str">
        <f>VLOOKUP(A84,schools!A84:B1832,2,FALSE)</f>
        <v>Franklin Co High School</v>
      </c>
      <c r="C84" s="5" t="str">
        <f>VLOOKUP(A84,schools!A84:F1832,5,FALSE)</f>
        <v>Winchester</v>
      </c>
      <c r="D84" s="5" t="s">
        <v>138</v>
      </c>
      <c r="E84" s="5" t="s">
        <v>18</v>
      </c>
      <c r="F84" s="5">
        <v>307</v>
      </c>
      <c r="G84" s="5">
        <v>97</v>
      </c>
      <c r="H84" s="5">
        <v>19.2</v>
      </c>
      <c r="I84" s="5">
        <v>18.7</v>
      </c>
      <c r="J84" s="5">
        <v>20</v>
      </c>
      <c r="K84" s="5">
        <v>19.7</v>
      </c>
      <c r="L84" s="5">
        <v>19.5</v>
      </c>
      <c r="M84" s="5">
        <v>106</v>
      </c>
      <c r="N84" s="5">
        <v>152</v>
      </c>
      <c r="O84" s="5" t="str">
        <f t="shared" si="2"/>
        <v>Below 20</v>
      </c>
      <c r="P84" s="5" t="str">
        <f t="shared" si="3"/>
        <v>Not all at least 20</v>
      </c>
    </row>
    <row r="85" spans="1:16" x14ac:dyDescent="0.35">
      <c r="A85" s="5" t="s">
        <v>139</v>
      </c>
      <c r="B85" s="5" t="str">
        <f>VLOOKUP(A85,schools!A85:B1833,2,FALSE)</f>
        <v>Huntland School</v>
      </c>
      <c r="C85" s="5" t="str">
        <f>VLOOKUP(A85,schools!A85:F1833,5,FALSE)</f>
        <v>Huntland</v>
      </c>
      <c r="D85" s="5" t="s">
        <v>138</v>
      </c>
      <c r="E85" s="5" t="s">
        <v>18</v>
      </c>
      <c r="F85" s="5">
        <v>57</v>
      </c>
      <c r="G85" s="5">
        <v>100</v>
      </c>
      <c r="H85" s="5">
        <v>19.399999999999999</v>
      </c>
      <c r="I85" s="5">
        <v>18</v>
      </c>
      <c r="J85" s="5">
        <v>19.5</v>
      </c>
      <c r="K85" s="5">
        <v>19</v>
      </c>
      <c r="L85" s="5">
        <v>19.2</v>
      </c>
      <c r="M85" s="5">
        <v>21</v>
      </c>
      <c r="N85" s="5">
        <v>28</v>
      </c>
      <c r="O85" s="5" t="str">
        <f t="shared" si="2"/>
        <v>Below 20</v>
      </c>
      <c r="P85" s="5" t="str">
        <f t="shared" si="3"/>
        <v>Not all at least 20</v>
      </c>
    </row>
    <row r="86" spans="1:16" x14ac:dyDescent="0.35">
      <c r="A86" s="5" t="s">
        <v>140</v>
      </c>
      <c r="B86" s="5" t="str">
        <f>VLOOKUP(A86,schools!A86:B1834,2,FALSE)</f>
        <v>Humboldt Junior/Senior High School</v>
      </c>
      <c r="C86" s="5" t="str">
        <f>VLOOKUP(A86,schools!A86:F1834,5,FALSE)</f>
        <v>Humboldt</v>
      </c>
      <c r="D86" s="5" t="s">
        <v>141</v>
      </c>
      <c r="E86" s="5" t="s">
        <v>18</v>
      </c>
      <c r="F86" s="5">
        <v>54</v>
      </c>
      <c r="G86" s="5">
        <v>96</v>
      </c>
      <c r="H86" s="5">
        <v>17.100000000000001</v>
      </c>
      <c r="I86" s="5">
        <v>17.399999999999999</v>
      </c>
      <c r="J86" s="5">
        <v>19.5</v>
      </c>
      <c r="K86" s="5">
        <v>18.3</v>
      </c>
      <c r="L86" s="5">
        <v>18.2</v>
      </c>
      <c r="M86" s="5">
        <v>17</v>
      </c>
      <c r="N86" s="5">
        <v>33</v>
      </c>
      <c r="O86" s="5" t="str">
        <f t="shared" si="2"/>
        <v>Below 20</v>
      </c>
      <c r="P86" s="5" t="str">
        <f t="shared" si="3"/>
        <v>Not all at least 20</v>
      </c>
    </row>
    <row r="87" spans="1:16" x14ac:dyDescent="0.35">
      <c r="A87" s="5" t="s">
        <v>142</v>
      </c>
      <c r="B87" s="5" t="str">
        <f>VLOOKUP(A87,schools!A87:B1835,2,FALSE)</f>
        <v>Milan High School</v>
      </c>
      <c r="C87" s="5" t="str">
        <f>VLOOKUP(A87,schools!A87:F1835,5,FALSE)</f>
        <v>Milan</v>
      </c>
      <c r="D87" s="5" t="s">
        <v>143</v>
      </c>
      <c r="E87" s="5" t="s">
        <v>18</v>
      </c>
      <c r="F87" s="5">
        <v>160</v>
      </c>
      <c r="G87" s="5">
        <v>99</v>
      </c>
      <c r="H87" s="5">
        <v>19.5</v>
      </c>
      <c r="I87" s="5">
        <v>20</v>
      </c>
      <c r="J87" s="5">
        <v>21.4</v>
      </c>
      <c r="K87" s="5">
        <v>20.9</v>
      </c>
      <c r="L87" s="5">
        <v>20.6</v>
      </c>
      <c r="M87" s="5">
        <v>71</v>
      </c>
      <c r="N87" s="5">
        <v>59</v>
      </c>
      <c r="O87" s="5" t="str">
        <f t="shared" si="2"/>
        <v>At least 20</v>
      </c>
      <c r="P87" s="5" t="str">
        <f t="shared" si="3"/>
        <v>Not all at least 20</v>
      </c>
    </row>
    <row r="88" spans="1:16" x14ac:dyDescent="0.35">
      <c r="A88" s="5" t="s">
        <v>144</v>
      </c>
      <c r="B88" s="5" t="str">
        <f>VLOOKUP(A88,schools!A88:B1836,2,FALSE)</f>
        <v>Peabody High School</v>
      </c>
      <c r="C88" s="5" t="str">
        <f>VLOOKUP(A88,schools!A88:F1836,5,FALSE)</f>
        <v>Trenton</v>
      </c>
      <c r="D88" s="5" t="s">
        <v>145</v>
      </c>
      <c r="E88" s="5" t="s">
        <v>18</v>
      </c>
      <c r="F88" s="5">
        <v>85</v>
      </c>
      <c r="G88" s="5">
        <v>98</v>
      </c>
      <c r="H88" s="5">
        <v>22.3</v>
      </c>
      <c r="I88" s="5">
        <v>19.399999999999999</v>
      </c>
      <c r="J88" s="5">
        <v>21.8</v>
      </c>
      <c r="K88" s="5">
        <v>20.399999999999999</v>
      </c>
      <c r="L88" s="5">
        <v>21.2</v>
      </c>
      <c r="M88" s="5">
        <v>45</v>
      </c>
      <c r="N88" s="5">
        <v>33</v>
      </c>
      <c r="O88" s="5" t="str">
        <f t="shared" si="2"/>
        <v>At least 20</v>
      </c>
      <c r="P88" s="5" t="str">
        <f t="shared" si="3"/>
        <v>Not all at least 20</v>
      </c>
    </row>
    <row r="89" spans="1:16" x14ac:dyDescent="0.35">
      <c r="A89" s="5" t="s">
        <v>146</v>
      </c>
      <c r="B89" s="5" t="str">
        <f>VLOOKUP(A89,schools!A89:B1837,2,FALSE)</f>
        <v>Bradford High School</v>
      </c>
      <c r="C89" s="5" t="str">
        <f>VLOOKUP(A89,schools!A89:F1837,5,FALSE)</f>
        <v>Bradford</v>
      </c>
      <c r="D89" s="5" t="s">
        <v>147</v>
      </c>
      <c r="E89" s="5" t="s">
        <v>18</v>
      </c>
      <c r="F89" s="5">
        <v>29</v>
      </c>
      <c r="G89" s="5">
        <v>100</v>
      </c>
      <c r="H89" s="5">
        <v>21.5</v>
      </c>
      <c r="I89" s="5">
        <v>21.8</v>
      </c>
      <c r="J89" s="5">
        <v>22.7</v>
      </c>
      <c r="K89" s="5">
        <v>21.4</v>
      </c>
      <c r="L89" s="5">
        <v>22</v>
      </c>
      <c r="M89" s="5">
        <v>16</v>
      </c>
      <c r="N89" s="5">
        <v>9</v>
      </c>
      <c r="O89" s="5" t="str">
        <f t="shared" si="2"/>
        <v>At least 20</v>
      </c>
      <c r="P89" s="5" t="str">
        <f t="shared" si="3"/>
        <v>All at least 20</v>
      </c>
    </row>
    <row r="90" spans="1:16" x14ac:dyDescent="0.35">
      <c r="A90" s="5" t="s">
        <v>148</v>
      </c>
      <c r="B90" s="5" t="str">
        <f>VLOOKUP(A90,schools!A90:B1838,2,FALSE)</f>
        <v>Gibson County High School</v>
      </c>
      <c r="C90" s="5" t="str">
        <f>VLOOKUP(A90,schools!A90:F1838,5,FALSE)</f>
        <v>Dyer</v>
      </c>
      <c r="D90" s="5" t="s">
        <v>149</v>
      </c>
      <c r="E90" s="5" t="s">
        <v>18</v>
      </c>
      <c r="F90" s="5">
        <v>101</v>
      </c>
      <c r="G90" s="5">
        <v>98</v>
      </c>
      <c r="H90" s="5">
        <v>21</v>
      </c>
      <c r="I90" s="5">
        <v>18.8</v>
      </c>
      <c r="J90" s="5">
        <v>20.5</v>
      </c>
      <c r="K90" s="5">
        <v>20</v>
      </c>
      <c r="L90" s="5">
        <v>20.2</v>
      </c>
      <c r="M90" s="5">
        <v>39</v>
      </c>
      <c r="N90" s="5">
        <v>40</v>
      </c>
      <c r="O90" s="5" t="str">
        <f t="shared" si="2"/>
        <v>At least 20</v>
      </c>
      <c r="P90" s="5" t="str">
        <f t="shared" si="3"/>
        <v>Not all at least 20</v>
      </c>
    </row>
    <row r="91" spans="1:16" x14ac:dyDescent="0.35">
      <c r="A91" s="5" t="s">
        <v>150</v>
      </c>
      <c r="B91" s="5" t="str">
        <f>VLOOKUP(A91,schools!A91:B1839,2,FALSE)</f>
        <v>South Gibson County High School</v>
      </c>
      <c r="C91" s="5" t="str">
        <f>VLOOKUP(A91,schools!A91:F1839,5,FALSE)</f>
        <v>Medina</v>
      </c>
      <c r="D91" s="5" t="s">
        <v>149</v>
      </c>
      <c r="E91" s="5" t="s">
        <v>18</v>
      </c>
      <c r="F91" s="5">
        <v>181</v>
      </c>
      <c r="G91" s="5">
        <v>100</v>
      </c>
      <c r="H91" s="5">
        <v>21.9</v>
      </c>
      <c r="I91" s="5">
        <v>21</v>
      </c>
      <c r="J91" s="5">
        <v>22.4</v>
      </c>
      <c r="K91" s="5">
        <v>21.6</v>
      </c>
      <c r="L91" s="5">
        <v>21.9</v>
      </c>
      <c r="M91" s="5">
        <v>109</v>
      </c>
      <c r="N91" s="5">
        <v>43</v>
      </c>
      <c r="O91" s="5" t="str">
        <f t="shared" si="2"/>
        <v>At least 20</v>
      </c>
      <c r="P91" s="5" t="str">
        <f t="shared" si="3"/>
        <v>All at least 20</v>
      </c>
    </row>
    <row r="92" spans="1:16" x14ac:dyDescent="0.35">
      <c r="A92" s="5" t="s">
        <v>151</v>
      </c>
      <c r="B92" s="5" t="str">
        <f>VLOOKUP(A92,schools!A92:B1840,2,FALSE)</f>
        <v>Giles Co High School</v>
      </c>
      <c r="C92" s="5" t="str">
        <f>VLOOKUP(A92,schools!A92:F1840,5,FALSE)</f>
        <v>Pulaski</v>
      </c>
      <c r="D92" s="5" t="s">
        <v>152</v>
      </c>
      <c r="E92" s="5" t="s">
        <v>18</v>
      </c>
      <c r="F92" s="5">
        <v>177</v>
      </c>
      <c r="G92" s="5">
        <v>99</v>
      </c>
      <c r="H92" s="5">
        <v>19.399999999999999</v>
      </c>
      <c r="I92" s="5">
        <v>18.100000000000001</v>
      </c>
      <c r="J92" s="5">
        <v>19.899999999999999</v>
      </c>
      <c r="K92" s="5">
        <v>19.399999999999999</v>
      </c>
      <c r="L92" s="5">
        <v>19.399999999999999</v>
      </c>
      <c r="M92" s="5">
        <v>62</v>
      </c>
      <c r="N92" s="5">
        <v>90</v>
      </c>
      <c r="O92" s="5" t="str">
        <f t="shared" si="2"/>
        <v>Below 20</v>
      </c>
      <c r="P92" s="5" t="str">
        <f t="shared" si="3"/>
        <v>Not all at least 20</v>
      </c>
    </row>
    <row r="93" spans="1:16" x14ac:dyDescent="0.35">
      <c r="A93" s="5" t="s">
        <v>153</v>
      </c>
      <c r="B93" s="5" t="str">
        <f>VLOOKUP(A93,schools!A93:B1841,2,FALSE)</f>
        <v>Richland School</v>
      </c>
      <c r="C93" s="5" t="str">
        <f>VLOOKUP(A93,schools!A93:F1841,5,FALSE)</f>
        <v>Lynnville</v>
      </c>
      <c r="D93" s="5" t="s">
        <v>152</v>
      </c>
      <c r="E93" s="5" t="s">
        <v>18</v>
      </c>
      <c r="F93" s="5">
        <v>81</v>
      </c>
      <c r="G93" s="5">
        <v>100</v>
      </c>
      <c r="H93" s="5">
        <v>20.6</v>
      </c>
      <c r="I93" s="5">
        <v>20.100000000000001</v>
      </c>
      <c r="J93" s="5">
        <v>20.8</v>
      </c>
      <c r="K93" s="5">
        <v>20.8</v>
      </c>
      <c r="L93" s="5">
        <v>20.7</v>
      </c>
      <c r="M93" s="5">
        <v>41</v>
      </c>
      <c r="N93" s="5">
        <v>29</v>
      </c>
      <c r="O93" s="5" t="str">
        <f t="shared" si="2"/>
        <v>At least 20</v>
      </c>
      <c r="P93" s="5" t="str">
        <f t="shared" si="3"/>
        <v>All at least 20</v>
      </c>
    </row>
    <row r="94" spans="1:16" x14ac:dyDescent="0.35">
      <c r="A94" s="5" t="s">
        <v>154</v>
      </c>
      <c r="B94" s="5" t="str">
        <f>VLOOKUP(A94,schools!A94:B1842,2,FALSE)</f>
        <v>Grainger High School</v>
      </c>
      <c r="C94" s="5" t="str">
        <f>VLOOKUP(A94,schools!A94:F1842,5,FALSE)</f>
        <v>Rutledge</v>
      </c>
      <c r="D94" s="5" t="s">
        <v>155</v>
      </c>
      <c r="E94" s="5" t="s">
        <v>18</v>
      </c>
      <c r="F94" s="5">
        <v>183</v>
      </c>
      <c r="G94" s="5">
        <v>99</v>
      </c>
      <c r="H94" s="5">
        <v>18.100000000000001</v>
      </c>
      <c r="I94" s="5">
        <v>18.5</v>
      </c>
      <c r="J94" s="5">
        <v>19.2</v>
      </c>
      <c r="K94" s="5">
        <v>19</v>
      </c>
      <c r="L94" s="5">
        <v>18.899999999999999</v>
      </c>
      <c r="M94" s="5">
        <v>58</v>
      </c>
      <c r="N94" s="5">
        <v>95</v>
      </c>
      <c r="O94" s="5" t="str">
        <f t="shared" si="2"/>
        <v>Below 20</v>
      </c>
      <c r="P94" s="5" t="str">
        <f t="shared" si="3"/>
        <v>Not all at least 20</v>
      </c>
    </row>
    <row r="95" spans="1:16" x14ac:dyDescent="0.35">
      <c r="A95" s="5" t="s">
        <v>156</v>
      </c>
      <c r="B95" s="5" t="str">
        <f>VLOOKUP(A95,schools!A95:B1843,2,FALSE)</f>
        <v>Washburn School</v>
      </c>
      <c r="C95" s="5" t="str">
        <f>VLOOKUP(A95,schools!A95:F1843,5,FALSE)</f>
        <v>Washburn</v>
      </c>
      <c r="D95" s="5" t="s">
        <v>155</v>
      </c>
      <c r="E95" s="5" t="s">
        <v>18</v>
      </c>
      <c r="F95" s="5">
        <v>39</v>
      </c>
      <c r="G95" s="5">
        <v>100</v>
      </c>
      <c r="H95" s="5">
        <v>15.2</v>
      </c>
      <c r="I95" s="5">
        <v>17.899999999999999</v>
      </c>
      <c r="J95" s="5">
        <v>17.399999999999999</v>
      </c>
      <c r="K95" s="5">
        <v>18.100000000000001</v>
      </c>
      <c r="L95" s="5">
        <v>17.2</v>
      </c>
      <c r="M95" s="5">
        <v>7</v>
      </c>
      <c r="N95" s="5">
        <v>26</v>
      </c>
      <c r="O95" s="5" t="str">
        <f t="shared" si="2"/>
        <v>Below 20</v>
      </c>
      <c r="P95" s="5" t="str">
        <f t="shared" si="3"/>
        <v>Not all at least 20</v>
      </c>
    </row>
    <row r="96" spans="1:16" x14ac:dyDescent="0.35">
      <c r="A96" s="5" t="s">
        <v>157</v>
      </c>
      <c r="B96" s="5" t="str">
        <f>VLOOKUP(A96,schools!A96:B1844,2,FALSE)</f>
        <v>Grainger Academy</v>
      </c>
      <c r="C96" s="5" t="str">
        <f>VLOOKUP(A96,schools!A96:F1844,5,FALSE)</f>
        <v>Rutledge</v>
      </c>
      <c r="D96" s="5" t="s">
        <v>155</v>
      </c>
      <c r="E96" s="5" t="s">
        <v>18</v>
      </c>
      <c r="F96" s="5">
        <v>18</v>
      </c>
      <c r="G96" s="5">
        <v>72</v>
      </c>
      <c r="H96" s="5">
        <v>13.4</v>
      </c>
      <c r="I96" s="5">
        <v>15.1</v>
      </c>
      <c r="J96" s="5">
        <v>13.4</v>
      </c>
      <c r="K96" s="5">
        <v>14.8</v>
      </c>
      <c r="L96" s="5">
        <v>14.5</v>
      </c>
      <c r="M96" s="5" t="s">
        <v>41</v>
      </c>
      <c r="N96" s="5" t="s">
        <v>41</v>
      </c>
      <c r="O96" s="5" t="str">
        <f t="shared" si="2"/>
        <v>Below 20</v>
      </c>
      <c r="P96" s="5" t="str">
        <f t="shared" si="3"/>
        <v>Not all at least 20</v>
      </c>
    </row>
    <row r="97" spans="1:16" x14ac:dyDescent="0.35">
      <c r="A97" s="5" t="s">
        <v>158</v>
      </c>
      <c r="B97" s="5" t="str">
        <f>VLOOKUP(A97,schools!A97:B1845,2,FALSE)</f>
        <v>Chuckey Doak High School</v>
      </c>
      <c r="C97" s="5" t="str">
        <f>VLOOKUP(A97,schools!A97:F1845,5,FALSE)</f>
        <v>Afton</v>
      </c>
      <c r="D97" s="5" t="s">
        <v>159</v>
      </c>
      <c r="E97" s="5" t="s">
        <v>18</v>
      </c>
      <c r="F97" s="5">
        <v>149</v>
      </c>
      <c r="G97" s="5">
        <v>99</v>
      </c>
      <c r="H97" s="5">
        <v>17.5</v>
      </c>
      <c r="I97" s="5">
        <v>17.7</v>
      </c>
      <c r="J97" s="5">
        <v>18.899999999999999</v>
      </c>
      <c r="K97" s="5">
        <v>18.8</v>
      </c>
      <c r="L97" s="5">
        <v>18.3</v>
      </c>
      <c r="M97" s="5">
        <v>42</v>
      </c>
      <c r="N97" s="5">
        <v>89</v>
      </c>
      <c r="O97" s="5" t="str">
        <f t="shared" si="2"/>
        <v>Below 20</v>
      </c>
      <c r="P97" s="5" t="str">
        <f t="shared" si="3"/>
        <v>Not all at least 20</v>
      </c>
    </row>
    <row r="98" spans="1:16" x14ac:dyDescent="0.35">
      <c r="A98" s="5" t="s">
        <v>160</v>
      </c>
      <c r="B98" s="5" t="str">
        <f>VLOOKUP(A98,schools!A98:B1846,2,FALSE)</f>
        <v>North Greene High School</v>
      </c>
      <c r="C98" s="5" t="str">
        <f>VLOOKUP(A98,schools!A98:F1846,5,FALSE)</f>
        <v>Greeneville</v>
      </c>
      <c r="D98" s="5" t="s">
        <v>159</v>
      </c>
      <c r="E98" s="5" t="s">
        <v>18</v>
      </c>
      <c r="F98" s="5">
        <v>97</v>
      </c>
      <c r="G98" s="5">
        <v>97</v>
      </c>
      <c r="H98" s="5">
        <v>18.3</v>
      </c>
      <c r="I98" s="5">
        <v>19</v>
      </c>
      <c r="J98" s="5">
        <v>19.8</v>
      </c>
      <c r="K98" s="5">
        <v>19.399999999999999</v>
      </c>
      <c r="L98" s="5">
        <v>19.2</v>
      </c>
      <c r="M98" s="5">
        <v>39</v>
      </c>
      <c r="N98" s="5">
        <v>42</v>
      </c>
      <c r="O98" s="5" t="str">
        <f t="shared" si="2"/>
        <v>Below 20</v>
      </c>
      <c r="P98" s="5" t="str">
        <f t="shared" si="3"/>
        <v>Not all at least 20</v>
      </c>
    </row>
    <row r="99" spans="1:16" x14ac:dyDescent="0.35">
      <c r="A99" s="5" t="s">
        <v>161</v>
      </c>
      <c r="B99" s="5" t="str">
        <f>VLOOKUP(A99,schools!A99:B1847,2,FALSE)</f>
        <v>South Greene High School</v>
      </c>
      <c r="C99" s="5" t="str">
        <f>VLOOKUP(A99,schools!A99:F1847,5,FALSE)</f>
        <v>Greeneville</v>
      </c>
      <c r="D99" s="5" t="s">
        <v>159</v>
      </c>
      <c r="E99" s="5" t="s">
        <v>18</v>
      </c>
      <c r="F99" s="5">
        <v>114</v>
      </c>
      <c r="G99" s="5">
        <v>96</v>
      </c>
      <c r="H99" s="5">
        <v>18.8</v>
      </c>
      <c r="I99" s="5">
        <v>18.7</v>
      </c>
      <c r="J99" s="5">
        <v>19.5</v>
      </c>
      <c r="K99" s="5">
        <v>19.100000000000001</v>
      </c>
      <c r="L99" s="5">
        <v>19.2</v>
      </c>
      <c r="M99" s="5">
        <v>46</v>
      </c>
      <c r="N99" s="5">
        <v>56</v>
      </c>
      <c r="O99" s="5" t="str">
        <f t="shared" si="2"/>
        <v>Below 20</v>
      </c>
      <c r="P99" s="5" t="str">
        <f t="shared" si="3"/>
        <v>Not all at least 20</v>
      </c>
    </row>
    <row r="100" spans="1:16" x14ac:dyDescent="0.35">
      <c r="A100" s="5" t="s">
        <v>162</v>
      </c>
      <c r="B100" s="5" t="str">
        <f>VLOOKUP(A100,schools!A100:B1848,2,FALSE)</f>
        <v>West Greene High School</v>
      </c>
      <c r="C100" s="5" t="str">
        <f>VLOOKUP(A100,schools!A100:F1848,5,FALSE)</f>
        <v>Mosheim</v>
      </c>
      <c r="D100" s="5" t="s">
        <v>159</v>
      </c>
      <c r="E100" s="5" t="s">
        <v>18</v>
      </c>
      <c r="F100" s="5">
        <v>127</v>
      </c>
      <c r="G100" s="5">
        <v>98</v>
      </c>
      <c r="H100" s="5">
        <v>17.600000000000001</v>
      </c>
      <c r="I100" s="5">
        <v>17.8</v>
      </c>
      <c r="J100" s="5">
        <v>18</v>
      </c>
      <c r="K100" s="5">
        <v>18.8</v>
      </c>
      <c r="L100" s="5">
        <v>18.2</v>
      </c>
      <c r="M100" s="5">
        <v>36</v>
      </c>
      <c r="N100" s="5">
        <v>79</v>
      </c>
      <c r="O100" s="5" t="str">
        <f t="shared" si="2"/>
        <v>Below 20</v>
      </c>
      <c r="P100" s="5" t="str">
        <f t="shared" si="3"/>
        <v>Not all at least 20</v>
      </c>
    </row>
    <row r="101" spans="1:16" x14ac:dyDescent="0.35">
      <c r="A101" s="5" t="s">
        <v>163</v>
      </c>
      <c r="B101" s="5" t="str">
        <f>VLOOKUP(A101,schools!A101:B1849,2,FALSE)</f>
        <v>Greeneville High School</v>
      </c>
      <c r="C101" s="5" t="str">
        <f>VLOOKUP(A101,schools!A101:F1849,5,FALSE)</f>
        <v>Greeneville</v>
      </c>
      <c r="D101" s="5" t="s">
        <v>164</v>
      </c>
      <c r="E101" s="5" t="s">
        <v>18</v>
      </c>
      <c r="F101" s="5">
        <v>201</v>
      </c>
      <c r="G101" s="5">
        <v>100</v>
      </c>
      <c r="H101" s="5">
        <v>21</v>
      </c>
      <c r="I101" s="5">
        <v>22</v>
      </c>
      <c r="J101" s="5">
        <v>22.1</v>
      </c>
      <c r="K101" s="5">
        <v>22</v>
      </c>
      <c r="L101" s="5">
        <v>21.9</v>
      </c>
      <c r="M101" s="5">
        <v>115</v>
      </c>
      <c r="N101" s="5">
        <v>54</v>
      </c>
      <c r="O101" s="5" t="str">
        <f t="shared" si="2"/>
        <v>At least 20</v>
      </c>
      <c r="P101" s="5" t="str">
        <f t="shared" si="3"/>
        <v>All at least 20</v>
      </c>
    </row>
    <row r="102" spans="1:16" x14ac:dyDescent="0.35">
      <c r="A102" s="5" t="s">
        <v>165</v>
      </c>
      <c r="B102" s="5" t="str">
        <f>VLOOKUP(A102,schools!A102:B1850,2,FALSE)</f>
        <v>Grundy County High School</v>
      </c>
      <c r="C102" s="5" t="str">
        <f>VLOOKUP(A102,schools!A102:F1850,5,FALSE)</f>
        <v>Coalmont</v>
      </c>
      <c r="D102" s="5" t="s">
        <v>166</v>
      </c>
      <c r="E102" s="5" t="s">
        <v>18</v>
      </c>
      <c r="F102" s="5">
        <v>119</v>
      </c>
      <c r="G102" s="5">
        <v>100</v>
      </c>
      <c r="H102" s="5">
        <v>19.899999999999999</v>
      </c>
      <c r="I102" s="5">
        <v>18.7</v>
      </c>
      <c r="J102" s="5">
        <v>20.399999999999999</v>
      </c>
      <c r="K102" s="5">
        <v>19.600000000000001</v>
      </c>
      <c r="L102" s="5">
        <v>19.8</v>
      </c>
      <c r="M102" s="5">
        <v>46</v>
      </c>
      <c r="N102" s="5">
        <v>54</v>
      </c>
      <c r="O102" s="5" t="str">
        <f t="shared" si="2"/>
        <v>Below 20</v>
      </c>
      <c r="P102" s="5" t="str">
        <f t="shared" si="3"/>
        <v>Not all at least 20</v>
      </c>
    </row>
    <row r="103" spans="1:16" x14ac:dyDescent="0.35">
      <c r="A103" s="5" t="s">
        <v>167</v>
      </c>
      <c r="B103" s="5" t="str">
        <f>VLOOKUP(A103,schools!A103:B1851,2,FALSE)</f>
        <v>Morristown East High</v>
      </c>
      <c r="C103" s="5" t="str">
        <f>VLOOKUP(A103,schools!A103:F1851,5,FALSE)</f>
        <v>Morristown</v>
      </c>
      <c r="D103" s="5" t="s">
        <v>168</v>
      </c>
      <c r="E103" s="5" t="s">
        <v>18</v>
      </c>
      <c r="F103" s="5">
        <v>332</v>
      </c>
      <c r="G103" s="5">
        <v>100</v>
      </c>
      <c r="H103" s="5">
        <v>19.399999999999999</v>
      </c>
      <c r="I103" s="5">
        <v>20.2</v>
      </c>
      <c r="J103" s="5">
        <v>20.2</v>
      </c>
      <c r="K103" s="5">
        <v>20.2</v>
      </c>
      <c r="L103" s="5">
        <v>20.2</v>
      </c>
      <c r="M103" s="5">
        <v>156</v>
      </c>
      <c r="N103" s="5">
        <v>141</v>
      </c>
      <c r="O103" s="5" t="str">
        <f t="shared" si="2"/>
        <v>At least 20</v>
      </c>
      <c r="P103" s="5" t="str">
        <f t="shared" si="3"/>
        <v>Not all at least 20</v>
      </c>
    </row>
    <row r="104" spans="1:16" x14ac:dyDescent="0.35">
      <c r="A104" s="5" t="s">
        <v>169</v>
      </c>
      <c r="B104" s="5" t="str">
        <f>VLOOKUP(A104,schools!A104:B1852,2,FALSE)</f>
        <v>Morristown West High</v>
      </c>
      <c r="C104" s="5" t="str">
        <f>VLOOKUP(A104,schools!A104:F1852,5,FALSE)</f>
        <v>Morristown</v>
      </c>
      <c r="D104" s="5" t="s">
        <v>168</v>
      </c>
      <c r="E104" s="5" t="s">
        <v>18</v>
      </c>
      <c r="F104" s="5">
        <v>292</v>
      </c>
      <c r="G104" s="5">
        <v>99</v>
      </c>
      <c r="H104" s="5">
        <v>19.8</v>
      </c>
      <c r="I104" s="5">
        <v>20.6</v>
      </c>
      <c r="J104" s="5">
        <v>21.2</v>
      </c>
      <c r="K104" s="5">
        <v>21.1</v>
      </c>
      <c r="L104" s="5">
        <v>20.8</v>
      </c>
      <c r="M104" s="5">
        <v>142</v>
      </c>
      <c r="N104" s="5">
        <v>113</v>
      </c>
      <c r="O104" s="5" t="str">
        <f t="shared" si="2"/>
        <v>At least 20</v>
      </c>
      <c r="P104" s="5" t="str">
        <f t="shared" si="3"/>
        <v>Not all at least 20</v>
      </c>
    </row>
    <row r="105" spans="1:16" x14ac:dyDescent="0.35">
      <c r="A105" s="5" t="s">
        <v>170</v>
      </c>
      <c r="B105" s="5" t="str">
        <f>VLOOKUP(A105,schools!A105:B1853,2,FALSE)</f>
        <v>Brainerd High School</v>
      </c>
      <c r="C105" s="5" t="str">
        <f>VLOOKUP(A105,schools!A105:F1853,5,FALSE)</f>
        <v>Chattanooga</v>
      </c>
      <c r="D105" s="5" t="s">
        <v>171</v>
      </c>
      <c r="E105" s="5" t="s">
        <v>18</v>
      </c>
      <c r="F105" s="5">
        <v>143</v>
      </c>
      <c r="G105" s="5">
        <v>97</v>
      </c>
      <c r="H105" s="5">
        <v>13</v>
      </c>
      <c r="I105" s="5">
        <v>15.3</v>
      </c>
      <c r="J105" s="5">
        <v>14.6</v>
      </c>
      <c r="K105" s="5">
        <v>14.8</v>
      </c>
      <c r="L105" s="5">
        <v>14.7</v>
      </c>
      <c r="M105" s="5" t="s">
        <v>41</v>
      </c>
      <c r="N105" s="5" t="s">
        <v>41</v>
      </c>
      <c r="O105" s="5" t="str">
        <f t="shared" si="2"/>
        <v>Below 20</v>
      </c>
      <c r="P105" s="5" t="str">
        <f t="shared" si="3"/>
        <v>Not all at least 20</v>
      </c>
    </row>
    <row r="106" spans="1:16" x14ac:dyDescent="0.35">
      <c r="A106" s="5" t="s">
        <v>172</v>
      </c>
      <c r="B106" s="5" t="str">
        <f>VLOOKUP(A106,schools!A106:B1854,2,FALSE)</f>
        <v>Central High School</v>
      </c>
      <c r="C106" s="5" t="str">
        <f>VLOOKUP(A106,schools!A106:F1854,5,FALSE)</f>
        <v>Harrison</v>
      </c>
      <c r="D106" s="5" t="s">
        <v>171</v>
      </c>
      <c r="E106" s="5" t="s">
        <v>18</v>
      </c>
      <c r="F106" s="5">
        <v>167</v>
      </c>
      <c r="G106" s="5">
        <v>99</v>
      </c>
      <c r="H106" s="5">
        <v>18.100000000000001</v>
      </c>
      <c r="I106" s="5">
        <v>18.100000000000001</v>
      </c>
      <c r="J106" s="5">
        <v>19.3</v>
      </c>
      <c r="K106" s="5">
        <v>19.100000000000001</v>
      </c>
      <c r="L106" s="5">
        <v>18.8</v>
      </c>
      <c r="M106" s="5">
        <v>58</v>
      </c>
      <c r="N106" s="5">
        <v>92</v>
      </c>
      <c r="O106" s="5" t="str">
        <f t="shared" si="2"/>
        <v>Below 20</v>
      </c>
      <c r="P106" s="5" t="str">
        <f t="shared" si="3"/>
        <v>Not all at least 20</v>
      </c>
    </row>
    <row r="107" spans="1:16" x14ac:dyDescent="0.35">
      <c r="A107" s="5" t="s">
        <v>173</v>
      </c>
      <c r="B107" s="5" t="str">
        <f>VLOOKUP(A107,schools!A107:B1855,2,FALSE)</f>
        <v>Chatt High Center For Creative Arts</v>
      </c>
      <c r="C107" s="5" t="str">
        <f>VLOOKUP(A107,schools!A107:F1855,5,FALSE)</f>
        <v>Chattanooga</v>
      </c>
      <c r="D107" s="5" t="s">
        <v>171</v>
      </c>
      <c r="E107" s="5" t="s">
        <v>18</v>
      </c>
      <c r="F107" s="5">
        <v>65</v>
      </c>
      <c r="G107" s="5">
        <v>100</v>
      </c>
      <c r="H107" s="5">
        <v>26.4</v>
      </c>
      <c r="I107" s="5">
        <v>22.2</v>
      </c>
      <c r="J107" s="5">
        <v>26.5</v>
      </c>
      <c r="K107" s="5">
        <v>23.8</v>
      </c>
      <c r="L107" s="5">
        <v>24.9</v>
      </c>
      <c r="M107" s="5">
        <v>53</v>
      </c>
      <c r="N107" s="5">
        <v>6</v>
      </c>
      <c r="O107" s="5" t="str">
        <f t="shared" si="2"/>
        <v>At least 20</v>
      </c>
      <c r="P107" s="5" t="str">
        <f t="shared" si="3"/>
        <v>All at least 20</v>
      </c>
    </row>
    <row r="108" spans="1:16" x14ac:dyDescent="0.35">
      <c r="A108" s="5" t="s">
        <v>174</v>
      </c>
      <c r="B108" s="5" t="str">
        <f>VLOOKUP(A108,schools!A108:B1856,2,FALSE)</f>
        <v>Chattanooga School For Arts And Sciences Upper</v>
      </c>
      <c r="C108" s="5" t="str">
        <f>VLOOKUP(A108,schools!A108:F1856,5,FALSE)</f>
        <v>Chattanooga</v>
      </c>
      <c r="D108" s="5" t="s">
        <v>171</v>
      </c>
      <c r="E108" s="5" t="s">
        <v>18</v>
      </c>
      <c r="F108" s="5">
        <v>95</v>
      </c>
      <c r="G108" s="5">
        <v>99</v>
      </c>
      <c r="H108" s="5">
        <v>23.3</v>
      </c>
      <c r="I108" s="5">
        <v>22.8</v>
      </c>
      <c r="J108" s="5">
        <v>24</v>
      </c>
      <c r="K108" s="5">
        <v>23.2</v>
      </c>
      <c r="L108" s="5">
        <v>23.5</v>
      </c>
      <c r="M108" s="5">
        <v>67</v>
      </c>
      <c r="N108" s="5">
        <v>18</v>
      </c>
      <c r="O108" s="5" t="str">
        <f t="shared" si="2"/>
        <v>At least 20</v>
      </c>
      <c r="P108" s="5" t="str">
        <f t="shared" si="3"/>
        <v>All at least 20</v>
      </c>
    </row>
    <row r="109" spans="1:16" x14ac:dyDescent="0.35">
      <c r="A109" s="5" t="s">
        <v>175</v>
      </c>
      <c r="B109" s="5" t="str">
        <f>VLOOKUP(A109,schools!A109:B1857,2,FALSE)</f>
        <v>East Hamilton School</v>
      </c>
      <c r="C109" s="5" t="str">
        <f>VLOOKUP(A109,schools!A109:F1857,5,FALSE)</f>
        <v>Ooltewah</v>
      </c>
      <c r="D109" s="5" t="s">
        <v>171</v>
      </c>
      <c r="E109" s="5" t="s">
        <v>18</v>
      </c>
      <c r="F109" s="5">
        <v>223</v>
      </c>
      <c r="G109" s="5">
        <v>99</v>
      </c>
      <c r="H109" s="5">
        <v>21.7</v>
      </c>
      <c r="I109" s="5">
        <v>21.2</v>
      </c>
      <c r="J109" s="5">
        <v>23.3</v>
      </c>
      <c r="K109" s="5">
        <v>22.3</v>
      </c>
      <c r="L109" s="5">
        <v>22.3</v>
      </c>
      <c r="M109" s="5">
        <v>135</v>
      </c>
      <c r="N109" s="5">
        <v>50</v>
      </c>
      <c r="O109" s="5" t="str">
        <f t="shared" si="2"/>
        <v>At least 20</v>
      </c>
      <c r="P109" s="5" t="str">
        <f t="shared" si="3"/>
        <v>All at least 20</v>
      </c>
    </row>
    <row r="110" spans="1:16" x14ac:dyDescent="0.35">
      <c r="A110" s="5" t="s">
        <v>176</v>
      </c>
      <c r="B110" s="5" t="str">
        <f>VLOOKUP(A110,schools!A110:B1858,2,FALSE)</f>
        <v>East Ridge High School</v>
      </c>
      <c r="C110" s="5" t="str">
        <f>VLOOKUP(A110,schools!A110:F1858,5,FALSE)</f>
        <v>Chattanooga</v>
      </c>
      <c r="D110" s="5" t="s">
        <v>171</v>
      </c>
      <c r="E110" s="5" t="s">
        <v>18</v>
      </c>
      <c r="F110" s="5">
        <v>152</v>
      </c>
      <c r="G110" s="5">
        <v>99</v>
      </c>
      <c r="H110" s="5">
        <v>15.9</v>
      </c>
      <c r="I110" s="5">
        <v>17.100000000000001</v>
      </c>
      <c r="J110" s="5">
        <v>17.3</v>
      </c>
      <c r="K110" s="5">
        <v>18</v>
      </c>
      <c r="L110" s="5">
        <v>17.2</v>
      </c>
      <c r="M110" s="5">
        <v>29</v>
      </c>
      <c r="N110" s="5">
        <v>97</v>
      </c>
      <c r="O110" s="5" t="str">
        <f t="shared" si="2"/>
        <v>Below 20</v>
      </c>
      <c r="P110" s="5" t="str">
        <f t="shared" si="3"/>
        <v>Not all at least 20</v>
      </c>
    </row>
    <row r="111" spans="1:16" x14ac:dyDescent="0.35">
      <c r="A111" s="5" t="s">
        <v>177</v>
      </c>
      <c r="B111" s="5" t="str">
        <f>VLOOKUP(A111,schools!A111:B1859,2,FALSE)</f>
        <v>Hamilton County Collegiate High at Chattanooga State</v>
      </c>
      <c r="C111" s="5" t="str">
        <f>VLOOKUP(A111,schools!A111:F1859,5,FALSE)</f>
        <v>Chattanooga</v>
      </c>
      <c r="D111" s="5" t="s">
        <v>171</v>
      </c>
      <c r="E111" s="5" t="s">
        <v>18</v>
      </c>
      <c r="F111" s="5">
        <v>47</v>
      </c>
      <c r="G111" s="5">
        <v>92</v>
      </c>
      <c r="H111" s="5">
        <v>26</v>
      </c>
      <c r="I111" s="5">
        <v>23.6</v>
      </c>
      <c r="J111" s="5">
        <v>26.9</v>
      </c>
      <c r="K111" s="5">
        <v>25.1</v>
      </c>
      <c r="L111" s="5">
        <v>25.6</v>
      </c>
      <c r="M111" s="5" t="s">
        <v>41</v>
      </c>
      <c r="N111" s="5" t="s">
        <v>41</v>
      </c>
      <c r="O111" s="5" t="str">
        <f t="shared" si="2"/>
        <v>At least 20</v>
      </c>
      <c r="P111" s="5" t="str">
        <f t="shared" si="3"/>
        <v>All at least 20</v>
      </c>
    </row>
    <row r="112" spans="1:16" x14ac:dyDescent="0.35">
      <c r="A112" s="5" t="s">
        <v>178</v>
      </c>
      <c r="B112" s="5" t="str">
        <f>VLOOKUP(A112,schools!A112:B1860,2,FALSE)</f>
        <v>Hamilton County High School</v>
      </c>
      <c r="C112" s="5" t="str">
        <f>VLOOKUP(A112,schools!A112:F1860,5,FALSE)</f>
        <v>Ooltewah</v>
      </c>
      <c r="D112" s="5" t="s">
        <v>171</v>
      </c>
      <c r="E112" s="5" t="s">
        <v>18</v>
      </c>
      <c r="F112" s="5">
        <v>86</v>
      </c>
      <c r="G112" s="5">
        <v>91</v>
      </c>
      <c r="H112" s="5">
        <v>15.1</v>
      </c>
      <c r="I112" s="5">
        <v>16.5</v>
      </c>
      <c r="J112" s="5">
        <v>16.8</v>
      </c>
      <c r="K112" s="5">
        <v>16.399999999999999</v>
      </c>
      <c r="L112" s="5">
        <v>16.3</v>
      </c>
      <c r="M112" s="5">
        <v>14</v>
      </c>
      <c r="N112" s="5">
        <v>67</v>
      </c>
      <c r="O112" s="5" t="str">
        <f t="shared" si="2"/>
        <v>Below 20</v>
      </c>
      <c r="P112" s="5" t="str">
        <f t="shared" si="3"/>
        <v>Not all at least 20</v>
      </c>
    </row>
    <row r="113" spans="1:16" x14ac:dyDescent="0.35">
      <c r="A113" s="5" t="s">
        <v>179</v>
      </c>
      <c r="B113" s="5" t="str">
        <f>VLOOKUP(A113,schools!A113:B1861,2,FALSE)</f>
        <v>Hixson High School</v>
      </c>
      <c r="C113" s="5" t="str">
        <f>VLOOKUP(A113,schools!A113:F1861,5,FALSE)</f>
        <v>Hixson</v>
      </c>
      <c r="D113" s="5" t="s">
        <v>171</v>
      </c>
      <c r="E113" s="5" t="s">
        <v>18</v>
      </c>
      <c r="F113" s="5">
        <v>187</v>
      </c>
      <c r="G113" s="5">
        <v>98</v>
      </c>
      <c r="H113" s="5">
        <v>18.600000000000001</v>
      </c>
      <c r="I113" s="5">
        <v>18.399999999999999</v>
      </c>
      <c r="J113" s="5">
        <v>20</v>
      </c>
      <c r="K113" s="5">
        <v>19.899999999999999</v>
      </c>
      <c r="L113" s="5">
        <v>19.399999999999999</v>
      </c>
      <c r="M113" s="5">
        <v>70</v>
      </c>
      <c r="N113" s="5">
        <v>87</v>
      </c>
      <c r="O113" s="5" t="str">
        <f t="shared" si="2"/>
        <v>Below 20</v>
      </c>
      <c r="P113" s="5" t="str">
        <f t="shared" si="3"/>
        <v>Not all at least 20</v>
      </c>
    </row>
    <row r="114" spans="1:16" x14ac:dyDescent="0.35">
      <c r="A114" s="5" t="s">
        <v>180</v>
      </c>
      <c r="B114" s="5" t="str">
        <f>VLOOKUP(A114,schools!A114:B1862,2,FALSE)</f>
        <v>The Howard School</v>
      </c>
      <c r="C114" s="5" t="str">
        <f>VLOOKUP(A114,schools!A114:F1862,5,FALSE)</f>
        <v>Chattanooga</v>
      </c>
      <c r="D114" s="5" t="s">
        <v>171</v>
      </c>
      <c r="E114" s="5" t="s">
        <v>18</v>
      </c>
      <c r="F114" s="5">
        <v>136</v>
      </c>
      <c r="G114" s="5">
        <v>88</v>
      </c>
      <c r="H114" s="5">
        <v>13.5</v>
      </c>
      <c r="I114" s="5">
        <v>15.7</v>
      </c>
      <c r="J114" s="5">
        <v>15</v>
      </c>
      <c r="K114" s="5">
        <v>15.5</v>
      </c>
      <c r="L114" s="5">
        <v>15.1</v>
      </c>
      <c r="M114" s="5">
        <v>7</v>
      </c>
      <c r="N114" s="5">
        <v>118</v>
      </c>
      <c r="O114" s="5" t="str">
        <f t="shared" si="2"/>
        <v>Below 20</v>
      </c>
      <c r="P114" s="5" t="str">
        <f t="shared" si="3"/>
        <v>Not all at least 20</v>
      </c>
    </row>
    <row r="115" spans="1:16" x14ac:dyDescent="0.35">
      <c r="A115" s="5" t="s">
        <v>181</v>
      </c>
      <c r="B115" s="5" t="str">
        <f>VLOOKUP(A115,schools!A115:B1863,2,FALSE)</f>
        <v>Ooltewah High School</v>
      </c>
      <c r="C115" s="5" t="str">
        <f>VLOOKUP(A115,schools!A115:F1863,5,FALSE)</f>
        <v>Ooltewah</v>
      </c>
      <c r="D115" s="5" t="s">
        <v>171</v>
      </c>
      <c r="E115" s="5" t="s">
        <v>18</v>
      </c>
      <c r="F115" s="5">
        <v>337</v>
      </c>
      <c r="G115" s="5">
        <v>98</v>
      </c>
      <c r="H115" s="5">
        <v>19.600000000000001</v>
      </c>
      <c r="I115" s="5">
        <v>19.2</v>
      </c>
      <c r="J115" s="5">
        <v>21.3</v>
      </c>
      <c r="K115" s="5">
        <v>20.7</v>
      </c>
      <c r="L115" s="5">
        <v>20.399999999999999</v>
      </c>
      <c r="M115" s="5">
        <v>148</v>
      </c>
      <c r="N115" s="5">
        <v>126</v>
      </c>
      <c r="O115" s="5" t="str">
        <f t="shared" si="2"/>
        <v>At least 20</v>
      </c>
      <c r="P115" s="5" t="str">
        <f t="shared" si="3"/>
        <v>Not all at least 20</v>
      </c>
    </row>
    <row r="116" spans="1:16" x14ac:dyDescent="0.35">
      <c r="A116" s="5" t="s">
        <v>182</v>
      </c>
      <c r="B116" s="5" t="str">
        <f>VLOOKUP(A116,schools!A116:B1864,2,FALSE)</f>
        <v>Lookout Valley Middle / High School</v>
      </c>
      <c r="C116" s="5" t="str">
        <f>VLOOKUP(A116,schools!A116:F1864,5,FALSE)</f>
        <v>Chattanooga</v>
      </c>
      <c r="D116" s="5" t="s">
        <v>171</v>
      </c>
      <c r="E116" s="5" t="s">
        <v>18</v>
      </c>
      <c r="F116" s="5">
        <v>51</v>
      </c>
      <c r="G116" s="5">
        <v>98</v>
      </c>
      <c r="H116" s="5">
        <v>18.899999999999999</v>
      </c>
      <c r="I116" s="5">
        <v>19.600000000000001</v>
      </c>
      <c r="J116" s="5">
        <v>20.7</v>
      </c>
      <c r="K116" s="5">
        <v>20.100000000000001</v>
      </c>
      <c r="L116" s="5">
        <v>20</v>
      </c>
      <c r="M116" s="5">
        <v>22</v>
      </c>
      <c r="N116" s="5">
        <v>21</v>
      </c>
      <c r="O116" s="5" t="str">
        <f t="shared" si="2"/>
        <v>At least 20</v>
      </c>
      <c r="P116" s="5" t="str">
        <f t="shared" si="3"/>
        <v>Not all at least 20</v>
      </c>
    </row>
    <row r="117" spans="1:16" x14ac:dyDescent="0.35">
      <c r="A117" s="5" t="s">
        <v>183</v>
      </c>
      <c r="B117" s="5" t="str">
        <f>VLOOKUP(A117,schools!A117:B1865,2,FALSE)</f>
        <v>Red Bank High School</v>
      </c>
      <c r="C117" s="5" t="str">
        <f>VLOOKUP(A117,schools!A117:F1865,5,FALSE)</f>
        <v>Chattanooga</v>
      </c>
      <c r="D117" s="5" t="s">
        <v>171</v>
      </c>
      <c r="E117" s="5" t="s">
        <v>18</v>
      </c>
      <c r="F117" s="5">
        <v>158</v>
      </c>
      <c r="G117" s="5">
        <v>98</v>
      </c>
      <c r="H117" s="5">
        <v>17.399999999999999</v>
      </c>
      <c r="I117" s="5">
        <v>18.100000000000001</v>
      </c>
      <c r="J117" s="5">
        <v>19.2</v>
      </c>
      <c r="K117" s="5">
        <v>18.7</v>
      </c>
      <c r="L117" s="5">
        <v>18.5</v>
      </c>
      <c r="M117" s="5">
        <v>39</v>
      </c>
      <c r="N117" s="5">
        <v>89</v>
      </c>
      <c r="O117" s="5" t="str">
        <f t="shared" si="2"/>
        <v>Below 20</v>
      </c>
      <c r="P117" s="5" t="str">
        <f t="shared" si="3"/>
        <v>Not all at least 20</v>
      </c>
    </row>
    <row r="118" spans="1:16" x14ac:dyDescent="0.35">
      <c r="A118" s="5" t="s">
        <v>184</v>
      </c>
      <c r="B118" s="5" t="str">
        <f>VLOOKUP(A118,schools!A118:B1866,2,FALSE)</f>
        <v>Sale Creek Middle / High School</v>
      </c>
      <c r="C118" s="5" t="str">
        <f>VLOOKUP(A118,schools!A118:F1866,5,FALSE)</f>
        <v>Sale Creek</v>
      </c>
      <c r="D118" s="5" t="s">
        <v>171</v>
      </c>
      <c r="E118" s="5" t="s">
        <v>18</v>
      </c>
      <c r="F118" s="5">
        <v>65</v>
      </c>
      <c r="G118" s="5">
        <v>100</v>
      </c>
      <c r="H118" s="5">
        <v>20.399999999999999</v>
      </c>
      <c r="I118" s="5">
        <v>20.399999999999999</v>
      </c>
      <c r="J118" s="5">
        <v>22.8</v>
      </c>
      <c r="K118" s="5">
        <v>21.2</v>
      </c>
      <c r="L118" s="5">
        <v>21.4</v>
      </c>
      <c r="M118" s="5">
        <v>35</v>
      </c>
      <c r="N118" s="5">
        <v>19</v>
      </c>
      <c r="O118" s="5" t="str">
        <f t="shared" si="2"/>
        <v>At least 20</v>
      </c>
      <c r="P118" s="5" t="str">
        <f t="shared" si="3"/>
        <v>All at least 20</v>
      </c>
    </row>
    <row r="119" spans="1:16" x14ac:dyDescent="0.35">
      <c r="A119" s="5" t="s">
        <v>185</v>
      </c>
      <c r="B119" s="5" t="str">
        <f>VLOOKUP(A119,schools!A119:B1867,2,FALSE)</f>
        <v>Sequoyah High School</v>
      </c>
      <c r="C119" s="5" t="str">
        <f>VLOOKUP(A119,schools!A119:F1867,5,FALSE)</f>
        <v>Soddy Daisy</v>
      </c>
      <c r="D119" s="5" t="s">
        <v>171</v>
      </c>
      <c r="E119" s="5" t="s">
        <v>18</v>
      </c>
      <c r="F119" s="5">
        <v>58</v>
      </c>
      <c r="G119" s="5">
        <v>74</v>
      </c>
      <c r="H119" s="5">
        <v>15.3</v>
      </c>
      <c r="I119" s="5">
        <v>16.600000000000001</v>
      </c>
      <c r="J119" s="5">
        <v>17.399999999999999</v>
      </c>
      <c r="K119" s="5">
        <v>17.8</v>
      </c>
      <c r="L119" s="5">
        <v>16.899999999999999</v>
      </c>
      <c r="M119" s="5">
        <v>11</v>
      </c>
      <c r="N119" s="5">
        <v>38</v>
      </c>
      <c r="O119" s="5" t="str">
        <f t="shared" si="2"/>
        <v>Below 20</v>
      </c>
      <c r="P119" s="5" t="str">
        <f t="shared" si="3"/>
        <v>Not all at least 20</v>
      </c>
    </row>
    <row r="120" spans="1:16" x14ac:dyDescent="0.35">
      <c r="A120" s="5" t="s">
        <v>186</v>
      </c>
      <c r="B120" s="5" t="str">
        <f>VLOOKUP(A120,schools!A120:B1868,2,FALSE)</f>
        <v>Signal Mountain Middle/High School</v>
      </c>
      <c r="C120" s="5" t="str">
        <f>VLOOKUP(A120,schools!A120:F1868,5,FALSE)</f>
        <v>Signal Mountain</v>
      </c>
      <c r="D120" s="5" t="s">
        <v>171</v>
      </c>
      <c r="E120" s="5" t="s">
        <v>18</v>
      </c>
      <c r="F120" s="5">
        <v>154</v>
      </c>
      <c r="G120" s="5">
        <v>99</v>
      </c>
      <c r="H120" s="5">
        <v>25.2</v>
      </c>
      <c r="I120" s="5">
        <v>23.1</v>
      </c>
      <c r="J120" s="5">
        <v>25.6</v>
      </c>
      <c r="K120" s="5">
        <v>24.2</v>
      </c>
      <c r="L120" s="5">
        <v>24.7</v>
      </c>
      <c r="M120" s="5">
        <v>117</v>
      </c>
      <c r="N120" s="5">
        <v>19</v>
      </c>
      <c r="O120" s="5" t="str">
        <f t="shared" si="2"/>
        <v>At least 20</v>
      </c>
      <c r="P120" s="5" t="str">
        <f t="shared" si="3"/>
        <v>All at least 20</v>
      </c>
    </row>
    <row r="121" spans="1:16" x14ac:dyDescent="0.35">
      <c r="A121" s="5" t="s">
        <v>187</v>
      </c>
      <c r="B121" s="5" t="str">
        <f>VLOOKUP(A121,schools!A121:B1869,2,FALSE)</f>
        <v>Soddy Daisy High School</v>
      </c>
      <c r="C121" s="5" t="str">
        <f>VLOOKUP(A121,schools!A121:F1869,5,FALSE)</f>
        <v>Soddy Daisy</v>
      </c>
      <c r="D121" s="5" t="s">
        <v>171</v>
      </c>
      <c r="E121" s="5" t="s">
        <v>18</v>
      </c>
      <c r="F121" s="5">
        <v>295</v>
      </c>
      <c r="G121" s="5">
        <v>99</v>
      </c>
      <c r="H121" s="5">
        <v>20.3</v>
      </c>
      <c r="I121" s="5">
        <v>21</v>
      </c>
      <c r="J121" s="5">
        <v>21.4</v>
      </c>
      <c r="K121" s="5">
        <v>21.1</v>
      </c>
      <c r="L121" s="5">
        <v>21.1</v>
      </c>
      <c r="M121" s="5">
        <v>143</v>
      </c>
      <c r="N121" s="5">
        <v>97</v>
      </c>
      <c r="O121" s="5" t="str">
        <f t="shared" si="2"/>
        <v>At least 20</v>
      </c>
      <c r="P121" s="5" t="str">
        <f t="shared" si="3"/>
        <v>All at least 20</v>
      </c>
    </row>
    <row r="122" spans="1:16" x14ac:dyDescent="0.35">
      <c r="A122" s="5" t="s">
        <v>188</v>
      </c>
      <c r="B122" s="5" t="str">
        <f>VLOOKUP(A122,schools!A122:B1870,2,FALSE)</f>
        <v>Tyner Academy</v>
      </c>
      <c r="C122" s="5" t="str">
        <f>VLOOKUP(A122,schools!A122:F1870,5,FALSE)</f>
        <v>Chattanooga</v>
      </c>
      <c r="D122" s="5" t="s">
        <v>171</v>
      </c>
      <c r="E122" s="5" t="s">
        <v>18</v>
      </c>
      <c r="F122" s="5">
        <v>135</v>
      </c>
      <c r="G122" s="5">
        <v>98</v>
      </c>
      <c r="H122" s="5">
        <v>16.2</v>
      </c>
      <c r="I122" s="5">
        <v>17.5</v>
      </c>
      <c r="J122" s="5">
        <v>17.7</v>
      </c>
      <c r="K122" s="5">
        <v>18.399999999999999</v>
      </c>
      <c r="L122" s="5">
        <v>17.600000000000001</v>
      </c>
      <c r="M122" s="5">
        <v>30</v>
      </c>
      <c r="N122" s="5">
        <v>82</v>
      </c>
      <c r="O122" s="5" t="str">
        <f t="shared" si="2"/>
        <v>Below 20</v>
      </c>
      <c r="P122" s="5" t="str">
        <f t="shared" si="3"/>
        <v>Not all at least 20</v>
      </c>
    </row>
    <row r="123" spans="1:16" x14ac:dyDescent="0.35">
      <c r="A123" s="5" t="s">
        <v>189</v>
      </c>
      <c r="B123" s="5" t="str">
        <f>VLOOKUP(A123,schools!A123:B1871,2,FALSE)</f>
        <v>Hamilton County Virtual School</v>
      </c>
      <c r="C123" s="5" t="str">
        <f>VLOOKUP(A123,schools!A123:F1871,5,FALSE)</f>
        <v>Chattanooga</v>
      </c>
      <c r="D123" s="5" t="s">
        <v>171</v>
      </c>
      <c r="E123" s="5" t="s">
        <v>18</v>
      </c>
      <c r="F123" s="5">
        <v>3</v>
      </c>
      <c r="G123" s="5" t="s">
        <v>44</v>
      </c>
      <c r="H123" s="5" t="s">
        <v>44</v>
      </c>
      <c r="I123" s="5" t="s">
        <v>44</v>
      </c>
      <c r="J123" s="5" t="s">
        <v>44</v>
      </c>
      <c r="K123" s="5" t="s">
        <v>44</v>
      </c>
      <c r="L123" s="5" t="s">
        <v>44</v>
      </c>
      <c r="M123" s="5" t="s">
        <v>44</v>
      </c>
      <c r="N123" s="5" t="s">
        <v>44</v>
      </c>
      <c r="O123" s="5" t="str">
        <f t="shared" si="2"/>
        <v>Score Not Available</v>
      </c>
      <c r="P123" s="5" t="str">
        <f t="shared" si="3"/>
        <v>Not all at least 20</v>
      </c>
    </row>
    <row r="124" spans="1:16" x14ac:dyDescent="0.35">
      <c r="A124" s="5" t="s">
        <v>190</v>
      </c>
      <c r="B124" s="5" t="str">
        <f>VLOOKUP(A124,schools!A124:B1872,2,FALSE)</f>
        <v>STEM School Chattanooga</v>
      </c>
      <c r="C124" s="5" t="str">
        <f>VLOOKUP(A124,schools!A124:F1872,5,FALSE)</f>
        <v>Chattanooga</v>
      </c>
      <c r="D124" s="5" t="s">
        <v>171</v>
      </c>
      <c r="E124" s="5" t="s">
        <v>18</v>
      </c>
      <c r="F124" s="5">
        <v>61</v>
      </c>
      <c r="G124" s="5">
        <v>100</v>
      </c>
      <c r="H124" s="5">
        <v>23.7</v>
      </c>
      <c r="I124" s="5">
        <v>22.5</v>
      </c>
      <c r="J124" s="5">
        <v>25.4</v>
      </c>
      <c r="K124" s="5">
        <v>24.7</v>
      </c>
      <c r="L124" s="5">
        <v>24.3</v>
      </c>
      <c r="M124" s="5">
        <v>44</v>
      </c>
      <c r="N124" s="5">
        <v>8</v>
      </c>
      <c r="O124" s="5" t="str">
        <f t="shared" si="2"/>
        <v>At least 20</v>
      </c>
      <c r="P124" s="5" t="str">
        <f t="shared" si="3"/>
        <v>All at least 20</v>
      </c>
    </row>
    <row r="125" spans="1:16" x14ac:dyDescent="0.35">
      <c r="A125" s="5" t="s">
        <v>191</v>
      </c>
      <c r="B125" s="5" t="str">
        <f>VLOOKUP(A125,schools!A125:B1873,2,FALSE)</f>
        <v>Chattanooga Girls Leadership Academy</v>
      </c>
      <c r="C125" s="5" t="str">
        <f>VLOOKUP(A125,schools!A125:F1873,5,FALSE)</f>
        <v>Chattanooga</v>
      </c>
      <c r="D125" s="5" t="s">
        <v>171</v>
      </c>
      <c r="E125" s="5" t="s">
        <v>18</v>
      </c>
      <c r="F125" s="5">
        <v>25</v>
      </c>
      <c r="G125" s="5">
        <v>100</v>
      </c>
      <c r="H125" s="5">
        <v>20.5</v>
      </c>
      <c r="I125" s="5">
        <v>19.2</v>
      </c>
      <c r="J125" s="5">
        <v>20.8</v>
      </c>
      <c r="K125" s="5">
        <v>19.899999999999999</v>
      </c>
      <c r="L125" s="5">
        <v>20.399999999999999</v>
      </c>
      <c r="M125" s="5">
        <v>12</v>
      </c>
      <c r="N125" s="5">
        <v>10</v>
      </c>
      <c r="O125" s="5" t="str">
        <f t="shared" si="2"/>
        <v>At least 20</v>
      </c>
      <c r="P125" s="5" t="str">
        <f t="shared" si="3"/>
        <v>Not all at least 20</v>
      </c>
    </row>
    <row r="126" spans="1:16" x14ac:dyDescent="0.35">
      <c r="A126" s="5" t="s">
        <v>192</v>
      </c>
      <c r="B126" s="5" t="str">
        <f>VLOOKUP(A126,schools!A126:B1874,2,FALSE)</f>
        <v>Ivy Academy Inc.</v>
      </c>
      <c r="C126" s="5" t="str">
        <f>VLOOKUP(A126,schools!A126:F1874,5,FALSE)</f>
        <v>Soddy Daisy</v>
      </c>
      <c r="D126" s="5" t="s">
        <v>171</v>
      </c>
      <c r="E126" s="5" t="s">
        <v>18</v>
      </c>
      <c r="F126" s="5">
        <v>34</v>
      </c>
      <c r="G126" s="5">
        <v>100</v>
      </c>
      <c r="H126" s="5">
        <v>17.899999999999999</v>
      </c>
      <c r="I126" s="5">
        <v>16.600000000000001</v>
      </c>
      <c r="J126" s="5">
        <v>19.3</v>
      </c>
      <c r="K126" s="5">
        <v>18.100000000000001</v>
      </c>
      <c r="L126" s="5">
        <v>18.100000000000001</v>
      </c>
      <c r="M126" s="5">
        <v>12</v>
      </c>
      <c r="N126" s="5">
        <v>20</v>
      </c>
      <c r="O126" s="5" t="str">
        <f t="shared" si="2"/>
        <v>Below 20</v>
      </c>
      <c r="P126" s="5" t="str">
        <f t="shared" si="3"/>
        <v>Not all at least 20</v>
      </c>
    </row>
    <row r="127" spans="1:16" x14ac:dyDescent="0.35">
      <c r="A127" s="5" t="s">
        <v>193</v>
      </c>
      <c r="B127" s="5" t="str">
        <f>VLOOKUP(A127,schools!A127:B1875,2,FALSE)</f>
        <v>Hancock High School</v>
      </c>
      <c r="C127" s="5" t="str">
        <f>VLOOKUP(A127,schools!A127:F1875,5,FALSE)</f>
        <v>Sneedville</v>
      </c>
      <c r="D127" s="5" t="s">
        <v>194</v>
      </c>
      <c r="E127" s="5" t="s">
        <v>18</v>
      </c>
      <c r="F127" s="5">
        <v>60</v>
      </c>
      <c r="G127" s="5">
        <v>94</v>
      </c>
      <c r="H127" s="5">
        <v>18.100000000000001</v>
      </c>
      <c r="I127" s="5">
        <v>17.8</v>
      </c>
      <c r="J127" s="5">
        <v>20</v>
      </c>
      <c r="K127" s="5">
        <v>18.5</v>
      </c>
      <c r="L127" s="5">
        <v>18.8</v>
      </c>
      <c r="M127" s="5">
        <v>20</v>
      </c>
      <c r="N127" s="5">
        <v>32</v>
      </c>
      <c r="O127" s="5" t="str">
        <f t="shared" si="2"/>
        <v>Below 20</v>
      </c>
      <c r="P127" s="5" t="str">
        <f t="shared" si="3"/>
        <v>Not all at least 20</v>
      </c>
    </row>
    <row r="128" spans="1:16" x14ac:dyDescent="0.35">
      <c r="A128" s="5" t="s">
        <v>195</v>
      </c>
      <c r="B128" s="5" t="str">
        <f>VLOOKUP(A128,schools!A128:B1876,2,FALSE)</f>
        <v>Central High School</v>
      </c>
      <c r="C128" s="5" t="str">
        <f>VLOOKUP(A128,schools!A128:F1876,5,FALSE)</f>
        <v>Bolivar</v>
      </c>
      <c r="D128" s="5" t="s">
        <v>196</v>
      </c>
      <c r="E128" s="5" t="s">
        <v>18</v>
      </c>
      <c r="F128" s="5">
        <v>176</v>
      </c>
      <c r="G128" s="5">
        <v>99</v>
      </c>
      <c r="H128" s="5">
        <v>18.8</v>
      </c>
      <c r="I128" s="5">
        <v>18.7</v>
      </c>
      <c r="J128" s="5">
        <v>19.7</v>
      </c>
      <c r="K128" s="5">
        <v>19.3</v>
      </c>
      <c r="L128" s="5">
        <v>19.3</v>
      </c>
      <c r="M128" s="5">
        <v>67</v>
      </c>
      <c r="N128" s="5">
        <v>92</v>
      </c>
      <c r="O128" s="5" t="str">
        <f t="shared" si="2"/>
        <v>Below 20</v>
      </c>
      <c r="P128" s="5" t="str">
        <f t="shared" si="3"/>
        <v>Not all at least 20</v>
      </c>
    </row>
    <row r="129" spans="1:16" x14ac:dyDescent="0.35">
      <c r="A129" s="5" t="s">
        <v>197</v>
      </c>
      <c r="B129" s="5" t="str">
        <f>VLOOKUP(A129,schools!A129:B1877,2,FALSE)</f>
        <v>Middleton High School</v>
      </c>
      <c r="C129" s="5" t="str">
        <f>VLOOKUP(A129,schools!A129:F1877,5,FALSE)</f>
        <v>Middleton</v>
      </c>
      <c r="D129" s="5" t="s">
        <v>196</v>
      </c>
      <c r="E129" s="5" t="s">
        <v>18</v>
      </c>
      <c r="F129" s="5">
        <v>82</v>
      </c>
      <c r="G129" s="5">
        <v>98</v>
      </c>
      <c r="H129" s="5">
        <v>18.5</v>
      </c>
      <c r="I129" s="5">
        <v>17.899999999999999</v>
      </c>
      <c r="J129" s="5">
        <v>18.8</v>
      </c>
      <c r="K129" s="5">
        <v>19.7</v>
      </c>
      <c r="L129" s="5">
        <v>18.899999999999999</v>
      </c>
      <c r="M129" s="5">
        <v>26</v>
      </c>
      <c r="N129" s="5">
        <v>40</v>
      </c>
      <c r="O129" s="5" t="str">
        <f t="shared" si="2"/>
        <v>Below 20</v>
      </c>
      <c r="P129" s="5" t="str">
        <f t="shared" si="3"/>
        <v>Not all at least 20</v>
      </c>
    </row>
    <row r="130" spans="1:16" x14ac:dyDescent="0.35">
      <c r="A130" s="5" t="s">
        <v>198</v>
      </c>
      <c r="B130" s="5" t="str">
        <f>VLOOKUP(A130,schools!A130:B1878,2,FALSE)</f>
        <v>Hardin County High School</v>
      </c>
      <c r="C130" s="5" t="str">
        <f>VLOOKUP(A130,schools!A130:F1878,5,FALSE)</f>
        <v>Savannah</v>
      </c>
      <c r="D130" s="5" t="s">
        <v>199</v>
      </c>
      <c r="E130" s="5" t="s">
        <v>18</v>
      </c>
      <c r="F130" s="5">
        <v>219</v>
      </c>
      <c r="G130" s="5">
        <v>99</v>
      </c>
      <c r="H130" s="5">
        <v>18.5</v>
      </c>
      <c r="I130" s="5">
        <v>18.7</v>
      </c>
      <c r="J130" s="5">
        <v>20</v>
      </c>
      <c r="K130" s="5">
        <v>19.600000000000001</v>
      </c>
      <c r="L130" s="5">
        <v>19.3</v>
      </c>
      <c r="M130" s="5">
        <v>77</v>
      </c>
      <c r="N130" s="5">
        <v>101</v>
      </c>
      <c r="O130" s="5" t="str">
        <f t="shared" si="2"/>
        <v>Below 20</v>
      </c>
      <c r="P130" s="5" t="str">
        <f t="shared" si="3"/>
        <v>Not all at least 20</v>
      </c>
    </row>
    <row r="131" spans="1:16" x14ac:dyDescent="0.35">
      <c r="A131" s="5" t="s">
        <v>200</v>
      </c>
      <c r="B131" s="5" t="str">
        <f>VLOOKUP(A131,schools!A131:B1879,2,FALSE)</f>
        <v>Cherokee High School</v>
      </c>
      <c r="C131" s="5" t="str">
        <f>VLOOKUP(A131,schools!A131:F1879,5,FALSE)</f>
        <v>Rogersville</v>
      </c>
      <c r="D131" s="5" t="s">
        <v>201</v>
      </c>
      <c r="E131" s="5" t="s">
        <v>18</v>
      </c>
      <c r="F131" s="5">
        <v>252</v>
      </c>
      <c r="G131" s="5">
        <v>98</v>
      </c>
      <c r="H131" s="5">
        <v>18.399999999999999</v>
      </c>
      <c r="I131" s="5">
        <v>18.899999999999999</v>
      </c>
      <c r="J131" s="5">
        <v>19.2</v>
      </c>
      <c r="K131" s="5">
        <v>18.8</v>
      </c>
      <c r="L131" s="5">
        <v>18.899999999999999</v>
      </c>
      <c r="M131" s="5">
        <v>86</v>
      </c>
      <c r="N131" s="5">
        <v>133</v>
      </c>
      <c r="O131" s="5" t="str">
        <f t="shared" ref="O131:O194" si="4">IFERROR(VLOOKUP(L131,$Q$2:$S$4,3,TRUE), "Score Not Available")</f>
        <v>Below 20</v>
      </c>
      <c r="P131" s="5" t="str">
        <f t="shared" ref="P131:P194" si="5">IFERROR(IF(MIN(H131,I131,J131,K131)&gt;20,"All at least 20", "Not all at least 20"),"Scores Not Available")</f>
        <v>Not all at least 20</v>
      </c>
    </row>
    <row r="132" spans="1:16" x14ac:dyDescent="0.35">
      <c r="A132" s="5" t="s">
        <v>202</v>
      </c>
      <c r="B132" s="5" t="str">
        <f>VLOOKUP(A132,schools!A132:B1880,2,FALSE)</f>
        <v>Clinch School</v>
      </c>
      <c r="C132" s="5" t="str">
        <f>VLOOKUP(A132,schools!A132:F1880,5,FALSE)</f>
        <v>Sneedville</v>
      </c>
      <c r="D132" s="5" t="s">
        <v>201</v>
      </c>
      <c r="E132" s="5" t="s">
        <v>18</v>
      </c>
      <c r="F132" s="5">
        <v>13</v>
      </c>
      <c r="G132" s="5">
        <v>100</v>
      </c>
      <c r="H132" s="5">
        <v>17.899999999999999</v>
      </c>
      <c r="I132" s="5">
        <v>17.3</v>
      </c>
      <c r="J132" s="5">
        <v>17.7</v>
      </c>
      <c r="K132" s="5">
        <v>17.7</v>
      </c>
      <c r="L132" s="5">
        <v>17.8</v>
      </c>
      <c r="M132" s="5">
        <v>3</v>
      </c>
      <c r="N132" s="5">
        <v>8</v>
      </c>
      <c r="O132" s="5" t="str">
        <f t="shared" si="4"/>
        <v>Below 20</v>
      </c>
      <c r="P132" s="5" t="str">
        <f t="shared" si="5"/>
        <v>Not all at least 20</v>
      </c>
    </row>
    <row r="133" spans="1:16" x14ac:dyDescent="0.35">
      <c r="A133" s="5" t="s">
        <v>203</v>
      </c>
      <c r="B133" s="5" t="str">
        <f>VLOOKUP(A133,schools!A133:B1881,2,FALSE)</f>
        <v>Volunteer High School</v>
      </c>
      <c r="C133" s="5" t="str">
        <f>VLOOKUP(A133,schools!A133:F1881,5,FALSE)</f>
        <v>Church Hill</v>
      </c>
      <c r="D133" s="5" t="s">
        <v>201</v>
      </c>
      <c r="E133" s="5" t="s">
        <v>18</v>
      </c>
      <c r="F133" s="5">
        <v>269</v>
      </c>
      <c r="G133" s="5">
        <v>96</v>
      </c>
      <c r="H133" s="5">
        <v>18.5</v>
      </c>
      <c r="I133" s="5">
        <v>18.399999999999999</v>
      </c>
      <c r="J133" s="5">
        <v>19.600000000000001</v>
      </c>
      <c r="K133" s="5">
        <v>19.5</v>
      </c>
      <c r="L133" s="5">
        <v>19.2</v>
      </c>
      <c r="M133" s="5">
        <v>102</v>
      </c>
      <c r="N133" s="5">
        <v>129</v>
      </c>
      <c r="O133" s="5" t="str">
        <f t="shared" si="4"/>
        <v>Below 20</v>
      </c>
      <c r="P133" s="5" t="str">
        <f t="shared" si="5"/>
        <v>Not all at least 20</v>
      </c>
    </row>
    <row r="134" spans="1:16" x14ac:dyDescent="0.35">
      <c r="A134" s="5" t="s">
        <v>204</v>
      </c>
      <c r="B134" s="5" t="str">
        <f>VLOOKUP(A134,schools!A134:B1882,2,FALSE)</f>
        <v>Haywood High School</v>
      </c>
      <c r="C134" s="5" t="str">
        <f>VLOOKUP(A134,schools!A134:F1882,5,FALSE)</f>
        <v>Brownsville</v>
      </c>
      <c r="D134" s="5" t="s">
        <v>205</v>
      </c>
      <c r="E134" s="5" t="s">
        <v>18</v>
      </c>
      <c r="F134" s="5">
        <v>202</v>
      </c>
      <c r="G134" s="5">
        <v>97</v>
      </c>
      <c r="H134" s="5">
        <v>17.2</v>
      </c>
      <c r="I134" s="5">
        <v>17.399999999999999</v>
      </c>
      <c r="J134" s="5">
        <v>18.7</v>
      </c>
      <c r="K134" s="5">
        <v>18.5</v>
      </c>
      <c r="L134" s="5">
        <v>18.100000000000001</v>
      </c>
      <c r="M134" s="5">
        <v>51</v>
      </c>
      <c r="N134" s="5">
        <v>117</v>
      </c>
      <c r="O134" s="5" t="str">
        <f t="shared" si="4"/>
        <v>Below 20</v>
      </c>
      <c r="P134" s="5" t="str">
        <f t="shared" si="5"/>
        <v>Not all at least 20</v>
      </c>
    </row>
    <row r="135" spans="1:16" x14ac:dyDescent="0.35">
      <c r="A135" s="5" t="s">
        <v>206</v>
      </c>
      <c r="B135" s="5" t="str">
        <f>VLOOKUP(A135,schools!A135:B1883,2,FALSE)</f>
        <v>Lexington High School</v>
      </c>
      <c r="C135" s="5" t="str">
        <f>VLOOKUP(A135,schools!A135:F1883,5,FALSE)</f>
        <v>Lexington</v>
      </c>
      <c r="D135" s="5" t="s">
        <v>207</v>
      </c>
      <c r="E135" s="5" t="s">
        <v>18</v>
      </c>
      <c r="F135" s="5">
        <v>224</v>
      </c>
      <c r="G135" s="5">
        <v>100</v>
      </c>
      <c r="H135" s="5">
        <v>19.8</v>
      </c>
      <c r="I135" s="5">
        <v>20.399999999999999</v>
      </c>
      <c r="J135" s="5">
        <v>20.5</v>
      </c>
      <c r="K135" s="5">
        <v>20.3</v>
      </c>
      <c r="L135" s="5">
        <v>20.399999999999999</v>
      </c>
      <c r="M135" s="5">
        <v>105</v>
      </c>
      <c r="N135" s="5">
        <v>85</v>
      </c>
      <c r="O135" s="5" t="str">
        <f t="shared" si="4"/>
        <v>At least 20</v>
      </c>
      <c r="P135" s="5" t="str">
        <f t="shared" si="5"/>
        <v>Not all at least 20</v>
      </c>
    </row>
    <row r="136" spans="1:16" x14ac:dyDescent="0.35">
      <c r="A136" s="5" t="s">
        <v>208</v>
      </c>
      <c r="B136" s="5" t="str">
        <f>VLOOKUP(A136,schools!A136:B1884,2,FALSE)</f>
        <v>Scotts Hill High School</v>
      </c>
      <c r="C136" s="5" t="str">
        <f>VLOOKUP(A136,schools!A136:F1884,5,FALSE)</f>
        <v>Reagan</v>
      </c>
      <c r="D136" s="5" t="s">
        <v>207</v>
      </c>
      <c r="E136" s="5" t="s">
        <v>18</v>
      </c>
      <c r="F136" s="5">
        <v>111</v>
      </c>
      <c r="G136" s="5">
        <v>100</v>
      </c>
      <c r="H136" s="5">
        <v>20.9</v>
      </c>
      <c r="I136" s="5">
        <v>20.3</v>
      </c>
      <c r="J136" s="5">
        <v>21.5</v>
      </c>
      <c r="K136" s="5">
        <v>20.8</v>
      </c>
      <c r="L136" s="5">
        <v>21.1</v>
      </c>
      <c r="M136" s="5">
        <v>57</v>
      </c>
      <c r="N136" s="5">
        <v>37</v>
      </c>
      <c r="O136" s="5" t="str">
        <f t="shared" si="4"/>
        <v>At least 20</v>
      </c>
      <c r="P136" s="5" t="str">
        <f t="shared" si="5"/>
        <v>All at least 20</v>
      </c>
    </row>
    <row r="137" spans="1:16" x14ac:dyDescent="0.35">
      <c r="A137" s="5" t="s">
        <v>209</v>
      </c>
      <c r="B137" s="5" t="str">
        <f>VLOOKUP(A137,schools!A137:B1885,2,FALSE)</f>
        <v>Henry Co High School</v>
      </c>
      <c r="C137" s="5" t="str">
        <f>VLOOKUP(A137,schools!A137:F1885,5,FALSE)</f>
        <v>Paris</v>
      </c>
      <c r="D137" s="5" t="s">
        <v>210</v>
      </c>
      <c r="E137" s="5" t="s">
        <v>18</v>
      </c>
      <c r="F137" s="5">
        <v>277</v>
      </c>
      <c r="G137" s="5">
        <v>99</v>
      </c>
      <c r="H137" s="5">
        <v>20.100000000000001</v>
      </c>
      <c r="I137" s="5">
        <v>19.2</v>
      </c>
      <c r="J137" s="5">
        <v>21</v>
      </c>
      <c r="K137" s="5">
        <v>20.3</v>
      </c>
      <c r="L137" s="5">
        <v>20.399999999999999</v>
      </c>
      <c r="M137" s="5">
        <v>130</v>
      </c>
      <c r="N137" s="5">
        <v>115</v>
      </c>
      <c r="O137" s="5" t="str">
        <f t="shared" si="4"/>
        <v>At least 20</v>
      </c>
      <c r="P137" s="5" t="str">
        <f t="shared" si="5"/>
        <v>Not all at least 20</v>
      </c>
    </row>
    <row r="138" spans="1:16" x14ac:dyDescent="0.35">
      <c r="A138" s="5" t="s">
        <v>211</v>
      </c>
      <c r="B138" s="5" t="str">
        <f>VLOOKUP(A138,schools!A138:B1886,2,FALSE)</f>
        <v>East Hickman High School</v>
      </c>
      <c r="C138" s="5" t="str">
        <f>VLOOKUP(A138,schools!A138:F1886,5,FALSE)</f>
        <v>Lyles</v>
      </c>
      <c r="D138" s="5" t="s">
        <v>212</v>
      </c>
      <c r="E138" s="5" t="s">
        <v>18</v>
      </c>
      <c r="F138" s="5">
        <v>107</v>
      </c>
      <c r="G138" s="5">
        <v>99</v>
      </c>
      <c r="H138" s="5">
        <v>18.899999999999999</v>
      </c>
      <c r="I138" s="5">
        <v>19.2</v>
      </c>
      <c r="J138" s="5">
        <v>19.5</v>
      </c>
      <c r="K138" s="5">
        <v>19.8</v>
      </c>
      <c r="L138" s="5">
        <v>19.5</v>
      </c>
      <c r="M138" s="5">
        <v>43</v>
      </c>
      <c r="N138" s="5">
        <v>54</v>
      </c>
      <c r="O138" s="5" t="str">
        <f t="shared" si="4"/>
        <v>Below 20</v>
      </c>
      <c r="P138" s="5" t="str">
        <f t="shared" si="5"/>
        <v>Not all at least 20</v>
      </c>
    </row>
    <row r="139" spans="1:16" x14ac:dyDescent="0.35">
      <c r="A139" s="5" t="s">
        <v>213</v>
      </c>
      <c r="B139" s="5" t="str">
        <f>VLOOKUP(A139,schools!A139:B1887,2,FALSE)</f>
        <v>Hickman Co Sr High School</v>
      </c>
      <c r="C139" s="5" t="str">
        <f>VLOOKUP(A139,schools!A139:F1887,5,FALSE)</f>
        <v>Centerville</v>
      </c>
      <c r="D139" s="5" t="s">
        <v>212</v>
      </c>
      <c r="E139" s="5" t="s">
        <v>18</v>
      </c>
      <c r="F139" s="5">
        <v>120</v>
      </c>
      <c r="G139" s="5">
        <v>98</v>
      </c>
      <c r="H139" s="5">
        <v>18.7</v>
      </c>
      <c r="I139" s="5">
        <v>18</v>
      </c>
      <c r="J139" s="5">
        <v>19.2</v>
      </c>
      <c r="K139" s="5">
        <v>19.399999999999999</v>
      </c>
      <c r="L139" s="5">
        <v>19</v>
      </c>
      <c r="M139" s="5">
        <v>41</v>
      </c>
      <c r="N139" s="5">
        <v>58</v>
      </c>
      <c r="O139" s="5" t="str">
        <f t="shared" si="4"/>
        <v>Below 20</v>
      </c>
      <c r="P139" s="5" t="str">
        <f t="shared" si="5"/>
        <v>Not all at least 20</v>
      </c>
    </row>
    <row r="140" spans="1:16" x14ac:dyDescent="0.35">
      <c r="A140" s="5" t="s">
        <v>214</v>
      </c>
      <c r="B140" s="5" t="str">
        <f>VLOOKUP(A140,schools!A140:B1888,2,FALSE)</f>
        <v>Houston Co High School</v>
      </c>
      <c r="C140" s="5" t="str">
        <f>VLOOKUP(A140,schools!A140:F1888,5,FALSE)</f>
        <v>Erin</v>
      </c>
      <c r="D140" s="5" t="s">
        <v>215</v>
      </c>
      <c r="E140" s="5" t="s">
        <v>18</v>
      </c>
      <c r="F140" s="5">
        <v>85</v>
      </c>
      <c r="G140" s="5">
        <v>98</v>
      </c>
      <c r="H140" s="5">
        <v>18.8</v>
      </c>
      <c r="I140" s="5">
        <v>18.600000000000001</v>
      </c>
      <c r="J140" s="5">
        <v>19.2</v>
      </c>
      <c r="K140" s="5">
        <v>19.3</v>
      </c>
      <c r="L140" s="5">
        <v>19.100000000000001</v>
      </c>
      <c r="M140" s="5">
        <v>29</v>
      </c>
      <c r="N140" s="5">
        <v>44</v>
      </c>
      <c r="O140" s="5" t="str">
        <f t="shared" si="4"/>
        <v>Below 20</v>
      </c>
      <c r="P140" s="5" t="str">
        <f t="shared" si="5"/>
        <v>Not all at least 20</v>
      </c>
    </row>
    <row r="141" spans="1:16" x14ac:dyDescent="0.35">
      <c r="A141" s="5" t="s">
        <v>216</v>
      </c>
      <c r="B141" s="5" t="str">
        <f>VLOOKUP(A141,schools!A141:B1889,2,FALSE)</f>
        <v>Mc Ewen High School</v>
      </c>
      <c r="C141" s="5" t="str">
        <f>VLOOKUP(A141,schools!A141:F1889,5,FALSE)</f>
        <v>McEwen</v>
      </c>
      <c r="D141" s="5" t="s">
        <v>217</v>
      </c>
      <c r="E141" s="5" t="s">
        <v>18</v>
      </c>
      <c r="F141" s="5">
        <v>57</v>
      </c>
      <c r="G141" s="5">
        <v>100</v>
      </c>
      <c r="H141" s="5">
        <v>19.5</v>
      </c>
      <c r="I141" s="5">
        <v>19.899999999999999</v>
      </c>
      <c r="J141" s="5">
        <v>21.7</v>
      </c>
      <c r="K141" s="5">
        <v>21.1</v>
      </c>
      <c r="L141" s="5">
        <v>20.7</v>
      </c>
      <c r="M141" s="5">
        <v>28</v>
      </c>
      <c r="N141" s="5">
        <v>19</v>
      </c>
      <c r="O141" s="5" t="str">
        <f t="shared" si="4"/>
        <v>At least 20</v>
      </c>
      <c r="P141" s="5" t="str">
        <f t="shared" si="5"/>
        <v>Not all at least 20</v>
      </c>
    </row>
    <row r="142" spans="1:16" x14ac:dyDescent="0.35">
      <c r="A142" s="5" t="s">
        <v>218</v>
      </c>
      <c r="B142" s="5" t="str">
        <f>VLOOKUP(A142,schools!A142:B1890,2,FALSE)</f>
        <v>Waverly Central High School</v>
      </c>
      <c r="C142" s="5" t="str">
        <f>VLOOKUP(A142,schools!A142:F1890,5,FALSE)</f>
        <v>Waverly</v>
      </c>
      <c r="D142" s="5" t="s">
        <v>217</v>
      </c>
      <c r="E142" s="5" t="s">
        <v>18</v>
      </c>
      <c r="F142" s="5">
        <v>114</v>
      </c>
      <c r="G142" s="5">
        <v>100</v>
      </c>
      <c r="H142" s="5">
        <v>20.399999999999999</v>
      </c>
      <c r="I142" s="5">
        <v>19.2</v>
      </c>
      <c r="J142" s="5">
        <v>20.2</v>
      </c>
      <c r="K142" s="5">
        <v>21.2</v>
      </c>
      <c r="L142" s="5">
        <v>20.399999999999999</v>
      </c>
      <c r="M142" s="5">
        <v>48</v>
      </c>
      <c r="N142" s="5">
        <v>42</v>
      </c>
      <c r="O142" s="5" t="str">
        <f t="shared" si="4"/>
        <v>At least 20</v>
      </c>
      <c r="P142" s="5" t="str">
        <f t="shared" si="5"/>
        <v>Not all at least 20</v>
      </c>
    </row>
    <row r="143" spans="1:16" x14ac:dyDescent="0.35">
      <c r="A143" s="5" t="s">
        <v>219</v>
      </c>
      <c r="B143" s="5" t="str">
        <f>VLOOKUP(A143,schools!A143:B1891,2,FALSE)</f>
        <v>Jackson County High School</v>
      </c>
      <c r="C143" s="5" t="str">
        <f>VLOOKUP(A143,schools!A143:F1891,5,FALSE)</f>
        <v>Gainesboro</v>
      </c>
      <c r="D143" s="5" t="s">
        <v>220</v>
      </c>
      <c r="E143" s="5" t="s">
        <v>18</v>
      </c>
      <c r="F143" s="5">
        <v>98</v>
      </c>
      <c r="G143" s="5">
        <v>98</v>
      </c>
      <c r="H143" s="5">
        <v>16.600000000000001</v>
      </c>
      <c r="I143" s="5">
        <v>18</v>
      </c>
      <c r="J143" s="5">
        <v>18.600000000000001</v>
      </c>
      <c r="K143" s="5">
        <v>18.399999999999999</v>
      </c>
      <c r="L143" s="5">
        <v>18</v>
      </c>
      <c r="M143" s="5">
        <v>29</v>
      </c>
      <c r="N143" s="5">
        <v>59</v>
      </c>
      <c r="O143" s="5" t="str">
        <f t="shared" si="4"/>
        <v>Below 20</v>
      </c>
      <c r="P143" s="5" t="str">
        <f t="shared" si="5"/>
        <v>Not all at least 20</v>
      </c>
    </row>
    <row r="144" spans="1:16" x14ac:dyDescent="0.35">
      <c r="A144" s="5" t="s">
        <v>221</v>
      </c>
      <c r="B144" s="5" t="str">
        <f>VLOOKUP(A144,schools!A144:B1892,2,FALSE)</f>
        <v>Jefferson Co High School</v>
      </c>
      <c r="C144" s="5" t="str">
        <f>VLOOKUP(A144,schools!A144:F1892,5,FALSE)</f>
        <v>Dandridge</v>
      </c>
      <c r="D144" s="5" t="s">
        <v>222</v>
      </c>
      <c r="E144" s="5" t="s">
        <v>18</v>
      </c>
      <c r="F144" s="5">
        <v>484</v>
      </c>
      <c r="G144" s="5">
        <v>97</v>
      </c>
      <c r="H144" s="5">
        <v>19.7</v>
      </c>
      <c r="I144" s="5">
        <v>19.3</v>
      </c>
      <c r="J144" s="5">
        <v>20.399999999999999</v>
      </c>
      <c r="K144" s="5">
        <v>20.100000000000001</v>
      </c>
      <c r="L144" s="5">
        <v>20</v>
      </c>
      <c r="M144" s="5">
        <v>212</v>
      </c>
      <c r="N144" s="5">
        <v>205</v>
      </c>
      <c r="O144" s="5" t="str">
        <f t="shared" si="4"/>
        <v>At least 20</v>
      </c>
      <c r="P144" s="5" t="str">
        <f t="shared" si="5"/>
        <v>Not all at least 20</v>
      </c>
    </row>
    <row r="145" spans="1:16" x14ac:dyDescent="0.35">
      <c r="A145" s="5" t="s">
        <v>223</v>
      </c>
      <c r="B145" s="5" t="str">
        <f>VLOOKUP(A145,schools!A145:B1893,2,FALSE)</f>
        <v>Johnson Co High School</v>
      </c>
      <c r="C145" s="5" t="str">
        <f>VLOOKUP(A145,schools!A145:F1893,5,FALSE)</f>
        <v>Mountain City</v>
      </c>
      <c r="D145" s="5" t="s">
        <v>224</v>
      </c>
      <c r="E145" s="5" t="s">
        <v>18</v>
      </c>
      <c r="F145" s="5">
        <v>155</v>
      </c>
      <c r="G145" s="5">
        <v>99</v>
      </c>
      <c r="H145" s="5">
        <v>18</v>
      </c>
      <c r="I145" s="5">
        <v>19.2</v>
      </c>
      <c r="J145" s="5">
        <v>19.600000000000001</v>
      </c>
      <c r="K145" s="5">
        <v>19.5</v>
      </c>
      <c r="L145" s="5">
        <v>19.2</v>
      </c>
      <c r="M145" s="5">
        <v>61</v>
      </c>
      <c r="N145" s="5">
        <v>75</v>
      </c>
      <c r="O145" s="5" t="str">
        <f t="shared" si="4"/>
        <v>Below 20</v>
      </c>
      <c r="P145" s="5" t="str">
        <f t="shared" si="5"/>
        <v>Not all at least 20</v>
      </c>
    </row>
    <row r="146" spans="1:16" x14ac:dyDescent="0.35">
      <c r="A146" s="5" t="s">
        <v>225</v>
      </c>
      <c r="B146" s="5" t="str">
        <f>VLOOKUP(A146,schools!A146:B1894,2,FALSE)</f>
        <v>Austin East High/Magnet</v>
      </c>
      <c r="C146" s="5" t="str">
        <f>VLOOKUP(A146,schools!A146:F1894,5,FALSE)</f>
        <v>Knoxville</v>
      </c>
      <c r="D146" s="5" t="s">
        <v>226</v>
      </c>
      <c r="E146" s="5" t="s">
        <v>18</v>
      </c>
      <c r="F146" s="5">
        <v>114</v>
      </c>
      <c r="G146" s="5">
        <v>100</v>
      </c>
      <c r="H146" s="5">
        <v>15</v>
      </c>
      <c r="I146" s="5">
        <v>16.399999999999999</v>
      </c>
      <c r="J146" s="5">
        <v>16.399999999999999</v>
      </c>
      <c r="K146" s="5">
        <v>16.399999999999999</v>
      </c>
      <c r="L146" s="5">
        <v>16.2</v>
      </c>
      <c r="M146" s="5">
        <v>11</v>
      </c>
      <c r="N146" s="5">
        <v>93</v>
      </c>
      <c r="O146" s="5" t="str">
        <f t="shared" si="4"/>
        <v>Below 20</v>
      </c>
      <c r="P146" s="5" t="str">
        <f t="shared" si="5"/>
        <v>Not all at least 20</v>
      </c>
    </row>
    <row r="147" spans="1:16" x14ac:dyDescent="0.35">
      <c r="A147" s="5" t="s">
        <v>227</v>
      </c>
      <c r="B147" s="5" t="str">
        <f>VLOOKUP(A147,schools!A147:B1895,2,FALSE)</f>
        <v>Bearden High School</v>
      </c>
      <c r="C147" s="5" t="str">
        <f>VLOOKUP(A147,schools!A147:F1895,5,FALSE)</f>
        <v>Knoxville</v>
      </c>
      <c r="D147" s="5" t="s">
        <v>226</v>
      </c>
      <c r="E147" s="5" t="s">
        <v>18</v>
      </c>
      <c r="F147" s="5">
        <v>470</v>
      </c>
      <c r="G147" s="5">
        <v>100</v>
      </c>
      <c r="H147" s="5">
        <v>23.7</v>
      </c>
      <c r="I147" s="5">
        <v>22.3</v>
      </c>
      <c r="J147" s="5">
        <v>24.2</v>
      </c>
      <c r="K147" s="5">
        <v>23.4</v>
      </c>
      <c r="L147" s="5">
        <v>23.5</v>
      </c>
      <c r="M147" s="5">
        <v>321</v>
      </c>
      <c r="N147" s="5">
        <v>91</v>
      </c>
      <c r="O147" s="5" t="str">
        <f t="shared" si="4"/>
        <v>At least 20</v>
      </c>
      <c r="P147" s="5" t="str">
        <f t="shared" si="5"/>
        <v>All at least 20</v>
      </c>
    </row>
    <row r="148" spans="1:16" x14ac:dyDescent="0.35">
      <c r="A148" s="5" t="s">
        <v>228</v>
      </c>
      <c r="B148" s="5" t="str">
        <f>VLOOKUP(A148,schools!A148:B1896,2,FALSE)</f>
        <v>Carter High School</v>
      </c>
      <c r="C148" s="5" t="str">
        <f>VLOOKUP(A148,schools!A148:F1896,5,FALSE)</f>
        <v>Strawberry Plains</v>
      </c>
      <c r="D148" s="5" t="s">
        <v>226</v>
      </c>
      <c r="E148" s="5" t="s">
        <v>18</v>
      </c>
      <c r="F148" s="5">
        <v>184</v>
      </c>
      <c r="G148" s="5">
        <v>100</v>
      </c>
      <c r="H148" s="5">
        <v>18.5</v>
      </c>
      <c r="I148" s="5">
        <v>18.100000000000001</v>
      </c>
      <c r="J148" s="5">
        <v>19.5</v>
      </c>
      <c r="K148" s="5">
        <v>19.3</v>
      </c>
      <c r="L148" s="5">
        <v>19</v>
      </c>
      <c r="M148" s="5">
        <v>53</v>
      </c>
      <c r="N148" s="5">
        <v>93</v>
      </c>
      <c r="O148" s="5" t="str">
        <f t="shared" si="4"/>
        <v>Below 20</v>
      </c>
      <c r="P148" s="5" t="str">
        <f t="shared" si="5"/>
        <v>Not all at least 20</v>
      </c>
    </row>
    <row r="149" spans="1:16" x14ac:dyDescent="0.35">
      <c r="A149" s="5" t="s">
        <v>229</v>
      </c>
      <c r="B149" s="5" t="str">
        <f>VLOOKUP(A149,schools!A149:B1897,2,FALSE)</f>
        <v>Central High School</v>
      </c>
      <c r="C149" s="5" t="str">
        <f>VLOOKUP(A149,schools!A149:F1897,5,FALSE)</f>
        <v>Knoxville</v>
      </c>
      <c r="D149" s="5" t="s">
        <v>226</v>
      </c>
      <c r="E149" s="5" t="s">
        <v>18</v>
      </c>
      <c r="F149" s="5">
        <v>179</v>
      </c>
      <c r="G149" s="5">
        <v>100</v>
      </c>
      <c r="H149" s="5">
        <v>20.100000000000001</v>
      </c>
      <c r="I149" s="5">
        <v>20.2</v>
      </c>
      <c r="J149" s="5">
        <v>20.8</v>
      </c>
      <c r="K149" s="5">
        <v>20.2</v>
      </c>
      <c r="L149" s="5">
        <v>20.5</v>
      </c>
      <c r="M149" s="5">
        <v>86</v>
      </c>
      <c r="N149" s="5">
        <v>72</v>
      </c>
      <c r="O149" s="5" t="str">
        <f t="shared" si="4"/>
        <v>At least 20</v>
      </c>
      <c r="P149" s="5" t="str">
        <f t="shared" si="5"/>
        <v>All at least 20</v>
      </c>
    </row>
    <row r="150" spans="1:16" x14ac:dyDescent="0.35">
      <c r="A150" s="5" t="s">
        <v>230</v>
      </c>
      <c r="B150" s="5" t="str">
        <f>VLOOKUP(A150,schools!A150:B1898,2,FALSE)</f>
        <v>South Doyle High School</v>
      </c>
      <c r="C150" s="5" t="str">
        <f>VLOOKUP(A150,schools!A150:F1898,5,FALSE)</f>
        <v>Knoxville</v>
      </c>
      <c r="D150" s="5" t="s">
        <v>226</v>
      </c>
      <c r="E150" s="5" t="s">
        <v>18</v>
      </c>
      <c r="F150" s="5">
        <v>211</v>
      </c>
      <c r="G150" s="5">
        <v>100</v>
      </c>
      <c r="H150" s="5">
        <v>18</v>
      </c>
      <c r="I150" s="5">
        <v>18.7</v>
      </c>
      <c r="J150" s="5">
        <v>19.5</v>
      </c>
      <c r="K150" s="5">
        <v>19.600000000000001</v>
      </c>
      <c r="L150" s="5">
        <v>19.100000000000001</v>
      </c>
      <c r="M150" s="5">
        <v>74</v>
      </c>
      <c r="N150" s="5">
        <v>112</v>
      </c>
      <c r="O150" s="5" t="str">
        <f t="shared" si="4"/>
        <v>Below 20</v>
      </c>
      <c r="P150" s="5" t="str">
        <f t="shared" si="5"/>
        <v>Not all at least 20</v>
      </c>
    </row>
    <row r="151" spans="1:16" x14ac:dyDescent="0.35">
      <c r="A151" s="5" t="s">
        <v>231</v>
      </c>
      <c r="B151" s="5" t="str">
        <f>VLOOKUP(A151,schools!A151:B1899,2,FALSE)</f>
        <v>Farragut High School</v>
      </c>
      <c r="C151" s="5" t="str">
        <f>VLOOKUP(A151,schools!A151:F1899,5,FALSE)</f>
        <v>Knoxville</v>
      </c>
      <c r="D151" s="5" t="s">
        <v>226</v>
      </c>
      <c r="E151" s="5" t="s">
        <v>18</v>
      </c>
      <c r="F151" s="5">
        <v>427</v>
      </c>
      <c r="G151" s="5">
        <v>100</v>
      </c>
      <c r="H151" s="5">
        <v>24.5</v>
      </c>
      <c r="I151" s="5">
        <v>23.5</v>
      </c>
      <c r="J151" s="5">
        <v>25.4</v>
      </c>
      <c r="K151" s="5">
        <v>24.3</v>
      </c>
      <c r="L151" s="5">
        <v>24.6</v>
      </c>
      <c r="M151" s="5">
        <v>325</v>
      </c>
      <c r="N151" s="5">
        <v>77</v>
      </c>
      <c r="O151" s="5" t="str">
        <f t="shared" si="4"/>
        <v>At least 20</v>
      </c>
      <c r="P151" s="5" t="str">
        <f t="shared" si="5"/>
        <v>All at least 20</v>
      </c>
    </row>
    <row r="152" spans="1:16" x14ac:dyDescent="0.35">
      <c r="A152" s="5" t="s">
        <v>232</v>
      </c>
      <c r="B152" s="5" t="str">
        <f>VLOOKUP(A152,schools!A152:B1900,2,FALSE)</f>
        <v>Fulton High School</v>
      </c>
      <c r="C152" s="5" t="str">
        <f>VLOOKUP(A152,schools!A152:F1900,5,FALSE)</f>
        <v>Knoxville</v>
      </c>
      <c r="D152" s="5" t="s">
        <v>226</v>
      </c>
      <c r="E152" s="5" t="s">
        <v>18</v>
      </c>
      <c r="F152" s="5">
        <v>145</v>
      </c>
      <c r="G152" s="5">
        <v>99</v>
      </c>
      <c r="H152" s="5">
        <v>16.2</v>
      </c>
      <c r="I152" s="5">
        <v>17.100000000000001</v>
      </c>
      <c r="J152" s="5">
        <v>17.2</v>
      </c>
      <c r="K152" s="5">
        <v>17.3</v>
      </c>
      <c r="L152" s="5">
        <v>17.100000000000001</v>
      </c>
      <c r="M152" s="5">
        <v>25</v>
      </c>
      <c r="N152" s="5">
        <v>103</v>
      </c>
      <c r="O152" s="5" t="str">
        <f t="shared" si="4"/>
        <v>Below 20</v>
      </c>
      <c r="P152" s="5" t="str">
        <f t="shared" si="5"/>
        <v>Not all at least 20</v>
      </c>
    </row>
    <row r="153" spans="1:16" x14ac:dyDescent="0.35">
      <c r="A153" s="5" t="s">
        <v>233</v>
      </c>
      <c r="B153" s="5" t="str">
        <f>VLOOKUP(A153,schools!A153:B1901,2,FALSE)</f>
        <v>Gibbs High School</v>
      </c>
      <c r="C153" s="5" t="str">
        <f>VLOOKUP(A153,schools!A153:F1901,5,FALSE)</f>
        <v>Corryton</v>
      </c>
      <c r="D153" s="5" t="s">
        <v>226</v>
      </c>
      <c r="E153" s="5" t="s">
        <v>18</v>
      </c>
      <c r="F153" s="5">
        <v>217</v>
      </c>
      <c r="G153" s="5">
        <v>99</v>
      </c>
      <c r="H153" s="5">
        <v>19.399999999999999</v>
      </c>
      <c r="I153" s="5">
        <v>19.100000000000001</v>
      </c>
      <c r="J153" s="5">
        <v>20.3</v>
      </c>
      <c r="K153" s="5">
        <v>19.7</v>
      </c>
      <c r="L153" s="5">
        <v>19.8</v>
      </c>
      <c r="M153" s="5">
        <v>84</v>
      </c>
      <c r="N153" s="5">
        <v>96</v>
      </c>
      <c r="O153" s="5" t="str">
        <f t="shared" si="4"/>
        <v>Below 20</v>
      </c>
      <c r="P153" s="5" t="str">
        <f t="shared" si="5"/>
        <v>Not all at least 20</v>
      </c>
    </row>
    <row r="154" spans="1:16" x14ac:dyDescent="0.35">
      <c r="A154" s="5" t="s">
        <v>234</v>
      </c>
      <c r="B154" s="5" t="str">
        <f>VLOOKUP(A154,schools!A154:B1902,2,FALSE)</f>
        <v>Halls High School</v>
      </c>
      <c r="C154" s="5" t="str">
        <f>VLOOKUP(A154,schools!A154:F1902,5,FALSE)</f>
        <v>Knoxville</v>
      </c>
      <c r="D154" s="5" t="s">
        <v>226</v>
      </c>
      <c r="E154" s="5" t="s">
        <v>18</v>
      </c>
      <c r="F154" s="5">
        <v>292</v>
      </c>
      <c r="G154" s="5">
        <v>100</v>
      </c>
      <c r="H154" s="5">
        <v>21.8</v>
      </c>
      <c r="I154" s="5">
        <v>20.7</v>
      </c>
      <c r="J154" s="5">
        <v>22.7</v>
      </c>
      <c r="K154" s="5">
        <v>21.7</v>
      </c>
      <c r="L154" s="5">
        <v>21.9</v>
      </c>
      <c r="M154" s="5">
        <v>168</v>
      </c>
      <c r="N154" s="5">
        <v>82</v>
      </c>
      <c r="O154" s="5" t="str">
        <f t="shared" si="4"/>
        <v>At least 20</v>
      </c>
      <c r="P154" s="5" t="str">
        <f t="shared" si="5"/>
        <v>All at least 20</v>
      </c>
    </row>
    <row r="155" spans="1:16" x14ac:dyDescent="0.35">
      <c r="A155" s="5" t="s">
        <v>235</v>
      </c>
      <c r="B155" s="5" t="str">
        <f>VLOOKUP(A155,schools!A155:B1903,2,FALSE)</f>
        <v>Hardin Valley Academy</v>
      </c>
      <c r="C155" s="5" t="str">
        <f>VLOOKUP(A155,schools!A155:F1903,5,FALSE)</f>
        <v>Knoxville</v>
      </c>
      <c r="D155" s="5" t="s">
        <v>226</v>
      </c>
      <c r="E155" s="5" t="s">
        <v>18</v>
      </c>
      <c r="F155" s="5">
        <v>451</v>
      </c>
      <c r="G155" s="5">
        <v>100</v>
      </c>
      <c r="H155" s="5">
        <v>22.6</v>
      </c>
      <c r="I155" s="5">
        <v>21.5</v>
      </c>
      <c r="J155" s="5">
        <v>23.6</v>
      </c>
      <c r="K155" s="5">
        <v>22.9</v>
      </c>
      <c r="L155" s="5">
        <v>22.8</v>
      </c>
      <c r="M155" s="5">
        <v>302</v>
      </c>
      <c r="N155" s="5">
        <v>87</v>
      </c>
      <c r="O155" s="5" t="str">
        <f t="shared" si="4"/>
        <v>At least 20</v>
      </c>
      <c r="P155" s="5" t="str">
        <f t="shared" si="5"/>
        <v>All at least 20</v>
      </c>
    </row>
    <row r="156" spans="1:16" x14ac:dyDescent="0.35">
      <c r="A156" s="5" t="s">
        <v>236</v>
      </c>
      <c r="B156" s="5" t="str">
        <f>VLOOKUP(A156,schools!A156:B1904,2,FALSE)</f>
        <v>Karns High School</v>
      </c>
      <c r="C156" s="5" t="str">
        <f>VLOOKUP(A156,schools!A156:F1904,5,FALSE)</f>
        <v>Knoxville</v>
      </c>
      <c r="D156" s="5" t="s">
        <v>226</v>
      </c>
      <c r="E156" s="5" t="s">
        <v>18</v>
      </c>
      <c r="F156" s="5">
        <v>283</v>
      </c>
      <c r="G156" s="5">
        <v>99</v>
      </c>
      <c r="H156" s="5">
        <v>20</v>
      </c>
      <c r="I156" s="5">
        <v>19.399999999999999</v>
      </c>
      <c r="J156" s="5">
        <v>21.2</v>
      </c>
      <c r="K156" s="5">
        <v>20.6</v>
      </c>
      <c r="L156" s="5">
        <v>20.5</v>
      </c>
      <c r="M156" s="5">
        <v>130</v>
      </c>
      <c r="N156" s="5">
        <v>109</v>
      </c>
      <c r="O156" s="5" t="str">
        <f t="shared" si="4"/>
        <v>At least 20</v>
      </c>
      <c r="P156" s="5" t="str">
        <f t="shared" si="5"/>
        <v>Not all at least 20</v>
      </c>
    </row>
    <row r="157" spans="1:16" x14ac:dyDescent="0.35">
      <c r="A157" s="5" t="s">
        <v>237</v>
      </c>
      <c r="B157" s="5" t="str">
        <f>VLOOKUP(A157,schools!A157:B1905,2,FALSE)</f>
        <v>Knox Adaptive Education Center</v>
      </c>
      <c r="C157" s="5" t="str">
        <f>VLOOKUP(A157,schools!A157:F1905,5,FALSE)</f>
        <v>Knoxville</v>
      </c>
      <c r="D157" s="5" t="s">
        <v>226</v>
      </c>
      <c r="E157" s="5" t="s">
        <v>18</v>
      </c>
      <c r="F157" s="5">
        <v>3</v>
      </c>
      <c r="G157" s="5" t="s">
        <v>44</v>
      </c>
      <c r="H157" s="5" t="s">
        <v>44</v>
      </c>
      <c r="I157" s="5" t="s">
        <v>44</v>
      </c>
      <c r="J157" s="5" t="s">
        <v>44</v>
      </c>
      <c r="K157" s="5" t="s">
        <v>44</v>
      </c>
      <c r="L157" s="5" t="s">
        <v>44</v>
      </c>
      <c r="M157" s="5" t="s">
        <v>44</v>
      </c>
      <c r="N157" s="5" t="s">
        <v>44</v>
      </c>
      <c r="O157" s="5" t="str">
        <f t="shared" si="4"/>
        <v>Score Not Available</v>
      </c>
      <c r="P157" s="5" t="str">
        <f t="shared" si="5"/>
        <v>Not all at least 20</v>
      </c>
    </row>
    <row r="158" spans="1:16" x14ac:dyDescent="0.35">
      <c r="A158" s="5" t="s">
        <v>238</v>
      </c>
      <c r="B158" s="5" t="str">
        <f>VLOOKUP(A158,schools!A158:B1906,2,FALSE)</f>
        <v>Powell High School</v>
      </c>
      <c r="C158" s="5" t="str">
        <f>VLOOKUP(A158,schools!A158:F1906,5,FALSE)</f>
        <v>Powell</v>
      </c>
      <c r="D158" s="5" t="s">
        <v>226</v>
      </c>
      <c r="E158" s="5" t="s">
        <v>18</v>
      </c>
      <c r="F158" s="5">
        <v>284</v>
      </c>
      <c r="G158" s="5">
        <v>100</v>
      </c>
      <c r="H158" s="5">
        <v>19.899999999999999</v>
      </c>
      <c r="I158" s="5">
        <v>19.3</v>
      </c>
      <c r="J158" s="5">
        <v>21.3</v>
      </c>
      <c r="K158" s="5">
        <v>20.7</v>
      </c>
      <c r="L158" s="5">
        <v>20.5</v>
      </c>
      <c r="M158" s="5">
        <v>135</v>
      </c>
      <c r="N158" s="5">
        <v>99</v>
      </c>
      <c r="O158" s="5" t="str">
        <f t="shared" si="4"/>
        <v>At least 20</v>
      </c>
      <c r="P158" s="5" t="str">
        <f t="shared" si="5"/>
        <v>Not all at least 20</v>
      </c>
    </row>
    <row r="159" spans="1:16" x14ac:dyDescent="0.35">
      <c r="A159" s="5" t="s">
        <v>239</v>
      </c>
      <c r="B159" s="5" t="str">
        <f>VLOOKUP(A159,schools!A159:B1907,2,FALSE)</f>
        <v>West High School</v>
      </c>
      <c r="C159" s="5" t="str">
        <f>VLOOKUP(A159,schools!A159:F1907,5,FALSE)</f>
        <v>Knoxville</v>
      </c>
      <c r="D159" s="5" t="s">
        <v>226</v>
      </c>
      <c r="E159" s="5" t="s">
        <v>18</v>
      </c>
      <c r="F159" s="5">
        <v>300</v>
      </c>
      <c r="G159" s="5">
        <v>98</v>
      </c>
      <c r="H159" s="5">
        <v>23.1</v>
      </c>
      <c r="I159" s="5">
        <v>21.5</v>
      </c>
      <c r="J159" s="5">
        <v>23.4</v>
      </c>
      <c r="K159" s="5">
        <v>22.8</v>
      </c>
      <c r="L159" s="5">
        <v>22.9</v>
      </c>
      <c r="M159" s="5">
        <v>170</v>
      </c>
      <c r="N159" s="5">
        <v>101</v>
      </c>
      <c r="O159" s="5" t="str">
        <f t="shared" si="4"/>
        <v>At least 20</v>
      </c>
      <c r="P159" s="5" t="str">
        <f t="shared" si="5"/>
        <v>All at least 20</v>
      </c>
    </row>
    <row r="160" spans="1:16" x14ac:dyDescent="0.35">
      <c r="A160" s="5" t="s">
        <v>240</v>
      </c>
      <c r="B160" s="5" t="str">
        <f>VLOOKUP(A160,schools!A160:B1908,2,FALSE)</f>
        <v>Dr. Paul L. Kelley Volunteer Academy</v>
      </c>
      <c r="C160" s="5" t="str">
        <f>VLOOKUP(A160,schools!A160:F1908,5,FALSE)</f>
        <v>Knoxville</v>
      </c>
      <c r="D160" s="5" t="s">
        <v>226</v>
      </c>
      <c r="E160" s="5" t="s">
        <v>18</v>
      </c>
      <c r="F160" s="5">
        <v>155</v>
      </c>
      <c r="G160" s="5">
        <v>95</v>
      </c>
      <c r="H160" s="5">
        <v>14.9</v>
      </c>
      <c r="I160" s="5">
        <v>16.3</v>
      </c>
      <c r="J160" s="5">
        <v>16.2</v>
      </c>
      <c r="K160" s="5">
        <v>16.2</v>
      </c>
      <c r="L160" s="5">
        <v>16</v>
      </c>
      <c r="M160" s="5">
        <v>17</v>
      </c>
      <c r="N160" s="5">
        <v>125</v>
      </c>
      <c r="O160" s="5" t="str">
        <f t="shared" si="4"/>
        <v>Below 20</v>
      </c>
      <c r="P160" s="5" t="str">
        <f t="shared" si="5"/>
        <v>Not all at least 20</v>
      </c>
    </row>
    <row r="161" spans="1:16" x14ac:dyDescent="0.35">
      <c r="A161" s="5" t="s">
        <v>241</v>
      </c>
      <c r="B161" s="5" t="str">
        <f>VLOOKUP(A161,schools!A161:B1909,2,FALSE)</f>
        <v>L N STEM Academy</v>
      </c>
      <c r="C161" s="5" t="str">
        <f>VLOOKUP(A161,schools!A161:F1909,5,FALSE)</f>
        <v>Knoxville</v>
      </c>
      <c r="D161" s="5" t="s">
        <v>226</v>
      </c>
      <c r="E161" s="5" t="s">
        <v>18</v>
      </c>
      <c r="F161" s="5">
        <v>139</v>
      </c>
      <c r="G161" s="5">
        <v>99</v>
      </c>
      <c r="H161" s="5">
        <v>26.1</v>
      </c>
      <c r="I161" s="5">
        <v>23.8</v>
      </c>
      <c r="J161" s="5">
        <v>26.7</v>
      </c>
      <c r="K161" s="5">
        <v>25.3</v>
      </c>
      <c r="L161" s="5">
        <v>25.6</v>
      </c>
      <c r="M161" s="5">
        <v>113</v>
      </c>
      <c r="N161" s="5">
        <v>13</v>
      </c>
      <c r="O161" s="5" t="str">
        <f t="shared" si="4"/>
        <v>At least 20</v>
      </c>
      <c r="P161" s="5" t="str">
        <f t="shared" si="5"/>
        <v>All at least 20</v>
      </c>
    </row>
    <row r="162" spans="1:16" x14ac:dyDescent="0.35">
      <c r="A162" s="5" t="s">
        <v>242</v>
      </c>
      <c r="B162" s="5" t="str">
        <f>VLOOKUP(A162,schools!A162:B1910,2,FALSE)</f>
        <v>Career Magnet Academy</v>
      </c>
      <c r="C162" s="5" t="str">
        <f>VLOOKUP(A162,schools!A162:F1910,5,FALSE)</f>
        <v>Knoxville</v>
      </c>
      <c r="D162" s="5" t="s">
        <v>226</v>
      </c>
      <c r="E162" s="5" t="s">
        <v>18</v>
      </c>
      <c r="F162" s="5">
        <v>63</v>
      </c>
      <c r="G162" s="5">
        <v>100</v>
      </c>
      <c r="H162" s="5">
        <v>19.7</v>
      </c>
      <c r="I162" s="5">
        <v>18.5</v>
      </c>
      <c r="J162" s="5">
        <v>21.7</v>
      </c>
      <c r="K162" s="5">
        <v>19.899999999999999</v>
      </c>
      <c r="L162" s="5">
        <v>20.2</v>
      </c>
      <c r="M162" s="5">
        <v>27</v>
      </c>
      <c r="N162" s="5">
        <v>22</v>
      </c>
      <c r="O162" s="5" t="str">
        <f t="shared" si="4"/>
        <v>At least 20</v>
      </c>
      <c r="P162" s="5" t="str">
        <f t="shared" si="5"/>
        <v>Not all at least 20</v>
      </c>
    </row>
    <row r="163" spans="1:16" x14ac:dyDescent="0.35">
      <c r="A163" s="5" t="s">
        <v>243</v>
      </c>
      <c r="B163" s="5" t="str">
        <f>VLOOKUP(A163,schools!A163:B1911,2,FALSE)</f>
        <v>Lake Co High School</v>
      </c>
      <c r="C163" s="5" t="str">
        <f>VLOOKUP(A163,schools!A163:F1911,5,FALSE)</f>
        <v>Tiptonville</v>
      </c>
      <c r="D163" s="5" t="s">
        <v>244</v>
      </c>
      <c r="E163" s="5" t="s">
        <v>18</v>
      </c>
      <c r="F163" s="5">
        <v>53</v>
      </c>
      <c r="G163" s="5">
        <v>100</v>
      </c>
      <c r="H163" s="5">
        <v>17.8</v>
      </c>
      <c r="I163" s="5">
        <v>17.7</v>
      </c>
      <c r="J163" s="5">
        <v>18.5</v>
      </c>
      <c r="K163" s="5">
        <v>18.8</v>
      </c>
      <c r="L163" s="5">
        <v>18.399999999999999</v>
      </c>
      <c r="M163" s="5">
        <v>14</v>
      </c>
      <c r="N163" s="5">
        <v>30</v>
      </c>
      <c r="O163" s="5" t="str">
        <f t="shared" si="4"/>
        <v>Below 20</v>
      </c>
      <c r="P163" s="5" t="str">
        <f t="shared" si="5"/>
        <v>Not all at least 20</v>
      </c>
    </row>
    <row r="164" spans="1:16" x14ac:dyDescent="0.35">
      <c r="A164" s="5" t="s">
        <v>245</v>
      </c>
      <c r="B164" s="5" t="str">
        <f>VLOOKUP(A164,schools!A164:B1912,2,FALSE)</f>
        <v>Halls High School</v>
      </c>
      <c r="C164" s="5" t="str">
        <f>VLOOKUP(A164,schools!A164:F1912,5,FALSE)</f>
        <v>Halls</v>
      </c>
      <c r="D164" s="5" t="s">
        <v>246</v>
      </c>
      <c r="E164" s="5" t="s">
        <v>18</v>
      </c>
      <c r="F164" s="5">
        <v>99</v>
      </c>
      <c r="G164" s="5">
        <v>100</v>
      </c>
      <c r="H164" s="5">
        <v>18.5</v>
      </c>
      <c r="I164" s="5">
        <v>18.899999999999999</v>
      </c>
      <c r="J164" s="5">
        <v>19.5</v>
      </c>
      <c r="K164" s="5">
        <v>19.399999999999999</v>
      </c>
      <c r="L164" s="5">
        <v>19.3</v>
      </c>
      <c r="M164" s="5">
        <v>30</v>
      </c>
      <c r="N164" s="5">
        <v>39</v>
      </c>
      <c r="O164" s="5" t="str">
        <f t="shared" si="4"/>
        <v>Below 20</v>
      </c>
      <c r="P164" s="5" t="str">
        <f t="shared" si="5"/>
        <v>Not all at least 20</v>
      </c>
    </row>
    <row r="165" spans="1:16" x14ac:dyDescent="0.35">
      <c r="A165" s="5" t="s">
        <v>247</v>
      </c>
      <c r="B165" s="5" t="str">
        <f>VLOOKUP(A165,schools!A165:B1913,2,FALSE)</f>
        <v>Ripley High School</v>
      </c>
      <c r="C165" s="5" t="str">
        <f>VLOOKUP(A165,schools!A165:F1913,5,FALSE)</f>
        <v>Ripley</v>
      </c>
      <c r="D165" s="5" t="s">
        <v>246</v>
      </c>
      <c r="E165" s="5" t="s">
        <v>18</v>
      </c>
      <c r="F165" s="5">
        <v>183</v>
      </c>
      <c r="G165" s="5">
        <v>100</v>
      </c>
      <c r="H165" s="5">
        <v>15.6</v>
      </c>
      <c r="I165" s="5">
        <v>16.7</v>
      </c>
      <c r="J165" s="5">
        <v>17.100000000000001</v>
      </c>
      <c r="K165" s="5">
        <v>17.2</v>
      </c>
      <c r="L165" s="5">
        <v>16.8</v>
      </c>
      <c r="M165" s="5">
        <v>31</v>
      </c>
      <c r="N165" s="5">
        <v>135</v>
      </c>
      <c r="O165" s="5" t="str">
        <f t="shared" si="4"/>
        <v>Below 20</v>
      </c>
      <c r="P165" s="5" t="str">
        <f t="shared" si="5"/>
        <v>Not all at least 20</v>
      </c>
    </row>
    <row r="166" spans="1:16" x14ac:dyDescent="0.35">
      <c r="A166" s="5" t="s">
        <v>248</v>
      </c>
      <c r="B166" s="5" t="str">
        <f>VLOOKUP(A166,schools!A166:B1914,2,FALSE)</f>
        <v>Lawrence Co High School</v>
      </c>
      <c r="C166" s="5" t="str">
        <f>VLOOKUP(A166,schools!A166:F1914,5,FALSE)</f>
        <v>Lawrenceburg</v>
      </c>
      <c r="D166" s="5" t="s">
        <v>249</v>
      </c>
      <c r="E166" s="5" t="s">
        <v>18</v>
      </c>
      <c r="F166" s="5">
        <v>239</v>
      </c>
      <c r="G166" s="5">
        <v>96</v>
      </c>
      <c r="H166" s="5">
        <v>20</v>
      </c>
      <c r="I166" s="5">
        <v>19.7</v>
      </c>
      <c r="J166" s="5">
        <v>20.6</v>
      </c>
      <c r="K166" s="5">
        <v>20.8</v>
      </c>
      <c r="L166" s="5">
        <v>20.399999999999999</v>
      </c>
      <c r="M166" s="5">
        <v>116</v>
      </c>
      <c r="N166" s="5">
        <v>89</v>
      </c>
      <c r="O166" s="5" t="str">
        <f t="shared" si="4"/>
        <v>At least 20</v>
      </c>
      <c r="P166" s="5" t="str">
        <f t="shared" si="5"/>
        <v>Not all at least 20</v>
      </c>
    </row>
    <row r="167" spans="1:16" x14ac:dyDescent="0.35">
      <c r="A167" s="5" t="s">
        <v>250</v>
      </c>
      <c r="B167" s="5" t="str">
        <f>VLOOKUP(A167,schools!A167:B1915,2,FALSE)</f>
        <v>Loretto High School</v>
      </c>
      <c r="C167" s="5" t="str">
        <f>VLOOKUP(A167,schools!A167:F1915,5,FALSE)</f>
        <v>Loretto</v>
      </c>
      <c r="D167" s="5" t="s">
        <v>249</v>
      </c>
      <c r="E167" s="5" t="s">
        <v>18</v>
      </c>
      <c r="F167" s="5">
        <v>101</v>
      </c>
      <c r="G167" s="5">
        <v>98</v>
      </c>
      <c r="H167" s="5">
        <v>20.6</v>
      </c>
      <c r="I167" s="5">
        <v>19.8</v>
      </c>
      <c r="J167" s="5">
        <v>20.8</v>
      </c>
      <c r="K167" s="5">
        <v>20.8</v>
      </c>
      <c r="L167" s="5">
        <v>20.6</v>
      </c>
      <c r="M167" s="5">
        <v>49</v>
      </c>
      <c r="N167" s="5">
        <v>38</v>
      </c>
      <c r="O167" s="5" t="str">
        <f t="shared" si="4"/>
        <v>At least 20</v>
      </c>
      <c r="P167" s="5" t="str">
        <f t="shared" si="5"/>
        <v>Not all at least 20</v>
      </c>
    </row>
    <row r="168" spans="1:16" x14ac:dyDescent="0.35">
      <c r="A168" s="5" t="s">
        <v>251</v>
      </c>
      <c r="B168" s="5" t="str">
        <f>VLOOKUP(A168,schools!A168:B1916,2,FALSE)</f>
        <v>Summertown High School</v>
      </c>
      <c r="C168" s="5" t="str">
        <f>VLOOKUP(A168,schools!A168:F1916,5,FALSE)</f>
        <v>Summertown</v>
      </c>
      <c r="D168" s="5" t="s">
        <v>249</v>
      </c>
      <c r="E168" s="5" t="s">
        <v>18</v>
      </c>
      <c r="F168" s="5">
        <v>93</v>
      </c>
      <c r="G168" s="5">
        <v>95</v>
      </c>
      <c r="H168" s="5">
        <v>20.7</v>
      </c>
      <c r="I168" s="5">
        <v>19.3</v>
      </c>
      <c r="J168" s="5">
        <v>20.5</v>
      </c>
      <c r="K168" s="5">
        <v>20.6</v>
      </c>
      <c r="L168" s="5">
        <v>20.5</v>
      </c>
      <c r="M168" s="5">
        <v>41</v>
      </c>
      <c r="N168" s="5">
        <v>34</v>
      </c>
      <c r="O168" s="5" t="str">
        <f t="shared" si="4"/>
        <v>At least 20</v>
      </c>
      <c r="P168" s="5" t="str">
        <f t="shared" si="5"/>
        <v>Not all at least 20</v>
      </c>
    </row>
    <row r="169" spans="1:16" x14ac:dyDescent="0.35">
      <c r="A169" s="5" t="s">
        <v>252</v>
      </c>
      <c r="B169" s="5" t="str">
        <f>VLOOKUP(A169,schools!A169:B1917,2,FALSE)</f>
        <v>Lewis Co High School</v>
      </c>
      <c r="C169" s="5" t="str">
        <f>VLOOKUP(A169,schools!A169:F1917,5,FALSE)</f>
        <v>Hohenwald</v>
      </c>
      <c r="D169" s="5" t="s">
        <v>253</v>
      </c>
      <c r="E169" s="5" t="s">
        <v>18</v>
      </c>
      <c r="F169" s="5">
        <v>95</v>
      </c>
      <c r="G169" s="5">
        <v>99</v>
      </c>
      <c r="H169" s="5">
        <v>18.7</v>
      </c>
      <c r="I169" s="5">
        <v>18.3</v>
      </c>
      <c r="J169" s="5">
        <v>19.100000000000001</v>
      </c>
      <c r="K169" s="5">
        <v>18.7</v>
      </c>
      <c r="L169" s="5">
        <v>18.899999999999999</v>
      </c>
      <c r="M169" s="5">
        <v>28</v>
      </c>
      <c r="N169" s="5">
        <v>53</v>
      </c>
      <c r="O169" s="5" t="str">
        <f t="shared" si="4"/>
        <v>Below 20</v>
      </c>
      <c r="P169" s="5" t="str">
        <f t="shared" si="5"/>
        <v>Not all at least 20</v>
      </c>
    </row>
    <row r="170" spans="1:16" x14ac:dyDescent="0.35">
      <c r="A170" s="5" t="s">
        <v>254</v>
      </c>
      <c r="B170" s="5" t="str">
        <f>VLOOKUP(A170,schools!A170:B1918,2,FALSE)</f>
        <v>Lincoln County High School</v>
      </c>
      <c r="C170" s="5" t="str">
        <f>VLOOKUP(A170,schools!A170:F1918,5,FALSE)</f>
        <v>Fayetteville</v>
      </c>
      <c r="D170" s="5" t="s">
        <v>255</v>
      </c>
      <c r="E170" s="5" t="s">
        <v>18</v>
      </c>
      <c r="F170" s="5">
        <v>278</v>
      </c>
      <c r="G170" s="5">
        <v>99</v>
      </c>
      <c r="H170" s="5">
        <v>20.5</v>
      </c>
      <c r="I170" s="5">
        <v>19.5</v>
      </c>
      <c r="J170" s="5">
        <v>21</v>
      </c>
      <c r="K170" s="5">
        <v>20.8</v>
      </c>
      <c r="L170" s="5">
        <v>20.6</v>
      </c>
      <c r="M170" s="5">
        <v>142</v>
      </c>
      <c r="N170" s="5">
        <v>108</v>
      </c>
      <c r="O170" s="5" t="str">
        <f t="shared" si="4"/>
        <v>At least 20</v>
      </c>
      <c r="P170" s="5" t="str">
        <f t="shared" si="5"/>
        <v>Not all at least 20</v>
      </c>
    </row>
    <row r="171" spans="1:16" x14ac:dyDescent="0.35">
      <c r="A171" s="5" t="s">
        <v>256</v>
      </c>
      <c r="B171" s="5" t="str">
        <f>VLOOKUP(A171,schools!A171:B1919,2,FALSE)</f>
        <v>Fayetteville High School</v>
      </c>
      <c r="C171" s="5" t="str">
        <f>VLOOKUP(A171,schools!A171:F1919,5,FALSE)</f>
        <v>Fayetteville</v>
      </c>
      <c r="D171" s="5" t="s">
        <v>257</v>
      </c>
      <c r="E171" s="5" t="s">
        <v>18</v>
      </c>
      <c r="F171" s="5">
        <v>73</v>
      </c>
      <c r="G171" s="5">
        <v>92</v>
      </c>
      <c r="H171" s="5">
        <v>19.8</v>
      </c>
      <c r="I171" s="5">
        <v>19.5</v>
      </c>
      <c r="J171" s="5">
        <v>21.1</v>
      </c>
      <c r="K171" s="5">
        <v>20.7</v>
      </c>
      <c r="L171" s="5">
        <v>20.399999999999999</v>
      </c>
      <c r="M171" s="5">
        <v>32</v>
      </c>
      <c r="N171" s="5">
        <v>31</v>
      </c>
      <c r="O171" s="5" t="str">
        <f t="shared" si="4"/>
        <v>At least 20</v>
      </c>
      <c r="P171" s="5" t="str">
        <f t="shared" si="5"/>
        <v>Not all at least 20</v>
      </c>
    </row>
    <row r="172" spans="1:16" x14ac:dyDescent="0.35">
      <c r="A172" s="5" t="s">
        <v>258</v>
      </c>
      <c r="B172" s="5" t="str">
        <f>VLOOKUP(A172,schools!A172:B1920,2,FALSE)</f>
        <v>Greenback School</v>
      </c>
      <c r="C172" s="5" t="str">
        <f>VLOOKUP(A172,schools!A172:F1920,5,FALSE)</f>
        <v>Greenback</v>
      </c>
      <c r="D172" s="5" t="s">
        <v>259</v>
      </c>
      <c r="E172" s="5" t="s">
        <v>18</v>
      </c>
      <c r="F172" s="5">
        <v>55</v>
      </c>
      <c r="G172" s="5">
        <v>100</v>
      </c>
      <c r="H172" s="5">
        <v>21.2</v>
      </c>
      <c r="I172" s="5">
        <v>19.5</v>
      </c>
      <c r="J172" s="5">
        <v>21.7</v>
      </c>
      <c r="K172" s="5">
        <v>20.8</v>
      </c>
      <c r="L172" s="5">
        <v>21</v>
      </c>
      <c r="M172" s="5">
        <v>28</v>
      </c>
      <c r="N172" s="5">
        <v>20</v>
      </c>
      <c r="O172" s="5" t="str">
        <f t="shared" si="4"/>
        <v>At least 20</v>
      </c>
      <c r="P172" s="5" t="str">
        <f t="shared" si="5"/>
        <v>Not all at least 20</v>
      </c>
    </row>
    <row r="173" spans="1:16" x14ac:dyDescent="0.35">
      <c r="A173" s="5" t="s">
        <v>260</v>
      </c>
      <c r="B173" s="5" t="str">
        <f>VLOOKUP(A173,schools!A173:B1921,2,FALSE)</f>
        <v>Loudon High School</v>
      </c>
      <c r="C173" s="5" t="str">
        <f>VLOOKUP(A173,schools!A173:F1921,5,FALSE)</f>
        <v>Loudon</v>
      </c>
      <c r="D173" s="5" t="s">
        <v>259</v>
      </c>
      <c r="E173" s="5" t="s">
        <v>18</v>
      </c>
      <c r="F173" s="5">
        <v>160</v>
      </c>
      <c r="G173" s="5">
        <v>98</v>
      </c>
      <c r="H173" s="5">
        <v>20.399999999999999</v>
      </c>
      <c r="I173" s="5">
        <v>19.8</v>
      </c>
      <c r="J173" s="5">
        <v>20.7</v>
      </c>
      <c r="K173" s="5">
        <v>20.7</v>
      </c>
      <c r="L173" s="5">
        <v>20.6</v>
      </c>
      <c r="M173" s="5">
        <v>77</v>
      </c>
      <c r="N173" s="5">
        <v>54</v>
      </c>
      <c r="O173" s="5" t="str">
        <f t="shared" si="4"/>
        <v>At least 20</v>
      </c>
      <c r="P173" s="5" t="str">
        <f t="shared" si="5"/>
        <v>Not all at least 20</v>
      </c>
    </row>
    <row r="174" spans="1:16" x14ac:dyDescent="0.35">
      <c r="A174" s="5" t="s">
        <v>261</v>
      </c>
      <c r="B174" s="5" t="str">
        <f>VLOOKUP(A174,schools!A174:B1922,2,FALSE)</f>
        <v>Lenoir City High School</v>
      </c>
      <c r="C174" s="5" t="str">
        <f>VLOOKUP(A174,schools!A174:F1922,5,FALSE)</f>
        <v>Lenoir City</v>
      </c>
      <c r="D174" s="5" t="s">
        <v>262</v>
      </c>
      <c r="E174" s="5" t="s">
        <v>18</v>
      </c>
      <c r="F174" s="5">
        <v>274</v>
      </c>
      <c r="G174" s="5">
        <v>99</v>
      </c>
      <c r="H174" s="5">
        <v>19.100000000000001</v>
      </c>
      <c r="I174" s="5">
        <v>19.8</v>
      </c>
      <c r="J174" s="5">
        <v>20.7</v>
      </c>
      <c r="K174" s="5">
        <v>20.399999999999999</v>
      </c>
      <c r="L174" s="5">
        <v>20.100000000000001</v>
      </c>
      <c r="M174" s="5">
        <v>122</v>
      </c>
      <c r="N174" s="5">
        <v>114</v>
      </c>
      <c r="O174" s="5" t="str">
        <f t="shared" si="4"/>
        <v>At least 20</v>
      </c>
      <c r="P174" s="5" t="str">
        <f t="shared" si="5"/>
        <v>Not all at least 20</v>
      </c>
    </row>
    <row r="175" spans="1:16" x14ac:dyDescent="0.35">
      <c r="A175" s="5" t="s">
        <v>263</v>
      </c>
      <c r="B175" s="5" t="str">
        <f>VLOOKUP(A175,schools!A175:B1923,2,FALSE)</f>
        <v>Central High School</v>
      </c>
      <c r="C175" s="5" t="str">
        <f>VLOOKUP(A175,schools!A175:F1923,5,FALSE)</f>
        <v>Englewood</v>
      </c>
      <c r="D175" s="5" t="s">
        <v>264</v>
      </c>
      <c r="E175" s="5" t="s">
        <v>18</v>
      </c>
      <c r="F175" s="5">
        <v>152</v>
      </c>
      <c r="G175" s="5">
        <v>97</v>
      </c>
      <c r="H175" s="5">
        <v>20.6</v>
      </c>
      <c r="I175" s="5">
        <v>19</v>
      </c>
      <c r="J175" s="5">
        <v>20.7</v>
      </c>
      <c r="K175" s="5">
        <v>20.3</v>
      </c>
      <c r="L175" s="5">
        <v>20.3</v>
      </c>
      <c r="M175" s="5">
        <v>68</v>
      </c>
      <c r="N175" s="5">
        <v>63</v>
      </c>
      <c r="O175" s="5" t="str">
        <f t="shared" si="4"/>
        <v>At least 20</v>
      </c>
      <c r="P175" s="5" t="str">
        <f t="shared" si="5"/>
        <v>Not all at least 20</v>
      </c>
    </row>
    <row r="176" spans="1:16" x14ac:dyDescent="0.35">
      <c r="A176" s="5" t="s">
        <v>265</v>
      </c>
      <c r="B176" s="5" t="str">
        <f>VLOOKUP(A176,schools!A176:B1924,2,FALSE)</f>
        <v>McMinn High School</v>
      </c>
      <c r="C176" s="5" t="str">
        <f>VLOOKUP(A176,schools!A176:F1924,5,FALSE)</f>
        <v>Athens</v>
      </c>
      <c r="D176" s="5" t="s">
        <v>264</v>
      </c>
      <c r="E176" s="5" t="s">
        <v>18</v>
      </c>
      <c r="F176" s="5">
        <v>336</v>
      </c>
      <c r="G176" s="5">
        <v>97</v>
      </c>
      <c r="H176" s="5">
        <v>19.3</v>
      </c>
      <c r="I176" s="5">
        <v>19.7</v>
      </c>
      <c r="J176" s="5">
        <v>20.7</v>
      </c>
      <c r="K176" s="5">
        <v>20.2</v>
      </c>
      <c r="L176" s="5">
        <v>20.100000000000001</v>
      </c>
      <c r="M176" s="5">
        <v>144</v>
      </c>
      <c r="N176" s="5">
        <v>144</v>
      </c>
      <c r="O176" s="5" t="str">
        <f t="shared" si="4"/>
        <v>At least 20</v>
      </c>
      <c r="P176" s="5" t="str">
        <f t="shared" si="5"/>
        <v>Not all at least 20</v>
      </c>
    </row>
    <row r="177" spans="1:16" x14ac:dyDescent="0.35">
      <c r="A177" s="5" t="s">
        <v>266</v>
      </c>
      <c r="B177" s="5" t="str">
        <f>VLOOKUP(A177,schools!A177:B1925,2,FALSE)</f>
        <v>Adamsville Junior / Senior High School</v>
      </c>
      <c r="C177" s="5" t="str">
        <f>VLOOKUP(A177,schools!A177:F1925,5,FALSE)</f>
        <v>Adamsville</v>
      </c>
      <c r="D177" s="5" t="s">
        <v>267</v>
      </c>
      <c r="E177" s="5" t="s">
        <v>18</v>
      </c>
      <c r="F177" s="5">
        <v>138</v>
      </c>
      <c r="G177" s="5">
        <v>93</v>
      </c>
      <c r="H177" s="5">
        <v>18.3</v>
      </c>
      <c r="I177" s="5">
        <v>17.899999999999999</v>
      </c>
      <c r="J177" s="5">
        <v>19.3</v>
      </c>
      <c r="K177" s="5">
        <v>18.899999999999999</v>
      </c>
      <c r="L177" s="5">
        <v>18.8</v>
      </c>
      <c r="M177" s="5">
        <v>39</v>
      </c>
      <c r="N177" s="5">
        <v>75</v>
      </c>
      <c r="O177" s="5" t="str">
        <f t="shared" si="4"/>
        <v>Below 20</v>
      </c>
      <c r="P177" s="5" t="str">
        <f t="shared" si="5"/>
        <v>Not all at least 20</v>
      </c>
    </row>
    <row r="178" spans="1:16" x14ac:dyDescent="0.35">
      <c r="A178" s="5" t="s">
        <v>268</v>
      </c>
      <c r="B178" s="5" t="str">
        <f>VLOOKUP(A178,schools!A178:B1926,2,FALSE)</f>
        <v>McNairy Central High School</v>
      </c>
      <c r="C178" s="5" t="str">
        <f>VLOOKUP(A178,schools!A178:F1926,5,FALSE)</f>
        <v>Selmer</v>
      </c>
      <c r="D178" s="5" t="s">
        <v>267</v>
      </c>
      <c r="E178" s="5" t="s">
        <v>18</v>
      </c>
      <c r="F178" s="5">
        <v>170</v>
      </c>
      <c r="G178" s="5">
        <v>99</v>
      </c>
      <c r="H178" s="5">
        <v>19.100000000000001</v>
      </c>
      <c r="I178" s="5">
        <v>19</v>
      </c>
      <c r="J178" s="5">
        <v>20</v>
      </c>
      <c r="K178" s="5">
        <v>19.399999999999999</v>
      </c>
      <c r="L178" s="5">
        <v>19.5</v>
      </c>
      <c r="M178" s="5">
        <v>65</v>
      </c>
      <c r="N178" s="5">
        <v>76</v>
      </c>
      <c r="O178" s="5" t="str">
        <f t="shared" si="4"/>
        <v>Below 20</v>
      </c>
      <c r="P178" s="5" t="str">
        <f t="shared" si="5"/>
        <v>Not all at least 20</v>
      </c>
    </row>
    <row r="179" spans="1:16" x14ac:dyDescent="0.35">
      <c r="A179" s="5" t="s">
        <v>269</v>
      </c>
      <c r="B179" s="5" t="str">
        <f>VLOOKUP(A179,schools!A179:B1927,2,FALSE)</f>
        <v>Macon County High School</v>
      </c>
      <c r="C179" s="5" t="str">
        <f>VLOOKUP(A179,schools!A179:F1927,5,FALSE)</f>
        <v>Lafayette</v>
      </c>
      <c r="D179" s="5" t="s">
        <v>270</v>
      </c>
      <c r="E179" s="5" t="s">
        <v>18</v>
      </c>
      <c r="F179" s="5">
        <v>203</v>
      </c>
      <c r="G179" s="5">
        <v>98</v>
      </c>
      <c r="H179" s="5">
        <v>18.8</v>
      </c>
      <c r="I179" s="5">
        <v>19.2</v>
      </c>
      <c r="J179" s="5">
        <v>19.5</v>
      </c>
      <c r="K179" s="5">
        <v>19.399999999999999</v>
      </c>
      <c r="L179" s="5">
        <v>19.399999999999999</v>
      </c>
      <c r="M179" s="5">
        <v>79</v>
      </c>
      <c r="N179" s="5">
        <v>94</v>
      </c>
      <c r="O179" s="5" t="str">
        <f t="shared" si="4"/>
        <v>Below 20</v>
      </c>
      <c r="P179" s="5" t="str">
        <f t="shared" si="5"/>
        <v>Not all at least 20</v>
      </c>
    </row>
    <row r="180" spans="1:16" x14ac:dyDescent="0.35">
      <c r="A180" s="5" t="s">
        <v>271</v>
      </c>
      <c r="B180" s="5" t="str">
        <f>VLOOKUP(A180,schools!A180:B1928,2,FALSE)</f>
        <v>Red Boiling Springs School</v>
      </c>
      <c r="C180" s="5" t="str">
        <f>VLOOKUP(A180,schools!A180:F1928,5,FALSE)</f>
        <v>Red Boiling Spg</v>
      </c>
      <c r="D180" s="5" t="s">
        <v>270</v>
      </c>
      <c r="E180" s="5" t="s">
        <v>18</v>
      </c>
      <c r="F180" s="5">
        <v>44</v>
      </c>
      <c r="G180" s="5">
        <v>100</v>
      </c>
      <c r="H180" s="5">
        <v>18.3</v>
      </c>
      <c r="I180" s="5">
        <v>18</v>
      </c>
      <c r="J180" s="5">
        <v>18.600000000000001</v>
      </c>
      <c r="K180" s="5">
        <v>18.5</v>
      </c>
      <c r="L180" s="5">
        <v>18.5</v>
      </c>
      <c r="M180" s="5">
        <v>10</v>
      </c>
      <c r="N180" s="5">
        <v>24</v>
      </c>
      <c r="O180" s="5" t="str">
        <f t="shared" si="4"/>
        <v>Below 20</v>
      </c>
      <c r="P180" s="5" t="str">
        <f t="shared" si="5"/>
        <v>Not all at least 20</v>
      </c>
    </row>
    <row r="181" spans="1:16" x14ac:dyDescent="0.35">
      <c r="A181" s="5" t="s">
        <v>272</v>
      </c>
      <c r="B181" s="5" t="str">
        <f>VLOOKUP(A181,schools!A181:B1929,2,FALSE)</f>
        <v>Liberty Technology Magnet High School</v>
      </c>
      <c r="C181" s="5" t="str">
        <f>VLOOKUP(A181,schools!A181:F1929,5,FALSE)</f>
        <v>Jackson</v>
      </c>
      <c r="D181" s="5" t="s">
        <v>273</v>
      </c>
      <c r="E181" s="5" t="s">
        <v>18</v>
      </c>
      <c r="F181" s="5">
        <v>206</v>
      </c>
      <c r="G181" s="5">
        <v>98</v>
      </c>
      <c r="H181" s="5">
        <v>15.1</v>
      </c>
      <c r="I181" s="5">
        <v>16.399999999999999</v>
      </c>
      <c r="J181" s="5">
        <v>16.899999999999999</v>
      </c>
      <c r="K181" s="5">
        <v>16.8</v>
      </c>
      <c r="L181" s="5">
        <v>16.5</v>
      </c>
      <c r="M181" s="5">
        <v>24</v>
      </c>
      <c r="N181" s="5">
        <v>165</v>
      </c>
      <c r="O181" s="5" t="str">
        <f t="shared" si="4"/>
        <v>Below 20</v>
      </c>
      <c r="P181" s="5" t="str">
        <f t="shared" si="5"/>
        <v>Not all at least 20</v>
      </c>
    </row>
    <row r="182" spans="1:16" x14ac:dyDescent="0.35">
      <c r="A182" s="5" t="s">
        <v>274</v>
      </c>
      <c r="B182" s="5" t="str">
        <f>VLOOKUP(A182,schools!A182:B1930,2,FALSE)</f>
        <v>Madison Academic Magnet High School</v>
      </c>
      <c r="C182" s="5" t="str">
        <f>VLOOKUP(A182,schools!A182:F1930,5,FALSE)</f>
        <v>Jackson</v>
      </c>
      <c r="D182" s="5" t="s">
        <v>273</v>
      </c>
      <c r="E182" s="5" t="s">
        <v>18</v>
      </c>
      <c r="F182" s="5">
        <v>104</v>
      </c>
      <c r="G182" s="5">
        <v>100</v>
      </c>
      <c r="H182" s="5">
        <v>25.6</v>
      </c>
      <c r="I182" s="5">
        <v>22.4</v>
      </c>
      <c r="J182" s="5">
        <v>26</v>
      </c>
      <c r="K182" s="5">
        <v>23.5</v>
      </c>
      <c r="L182" s="5">
        <v>24.6</v>
      </c>
      <c r="M182" s="5">
        <v>80</v>
      </c>
      <c r="N182" s="5">
        <v>9</v>
      </c>
      <c r="O182" s="5" t="str">
        <f t="shared" si="4"/>
        <v>At least 20</v>
      </c>
      <c r="P182" s="5" t="str">
        <f t="shared" si="5"/>
        <v>All at least 20</v>
      </c>
    </row>
    <row r="183" spans="1:16" x14ac:dyDescent="0.35">
      <c r="A183" s="5" t="s">
        <v>275</v>
      </c>
      <c r="B183" s="5" t="str">
        <f>VLOOKUP(A183,schools!A183:B1931,2,FALSE)</f>
        <v>North Side High School</v>
      </c>
      <c r="C183" s="5" t="str">
        <f>VLOOKUP(A183,schools!A183:F1931,5,FALSE)</f>
        <v>Jackson</v>
      </c>
      <c r="D183" s="5" t="s">
        <v>273</v>
      </c>
      <c r="E183" s="5" t="s">
        <v>18</v>
      </c>
      <c r="F183" s="5">
        <v>230</v>
      </c>
      <c r="G183" s="5">
        <v>100</v>
      </c>
      <c r="H183" s="5">
        <v>15.6</v>
      </c>
      <c r="I183" s="5">
        <v>16.5</v>
      </c>
      <c r="J183" s="5">
        <v>17.5</v>
      </c>
      <c r="K183" s="5">
        <v>17.3</v>
      </c>
      <c r="L183" s="5">
        <v>16.899999999999999</v>
      </c>
      <c r="M183" s="5">
        <v>32</v>
      </c>
      <c r="N183" s="5">
        <v>179</v>
      </c>
      <c r="O183" s="5" t="str">
        <f t="shared" si="4"/>
        <v>Below 20</v>
      </c>
      <c r="P183" s="5" t="str">
        <f t="shared" si="5"/>
        <v>Not all at least 20</v>
      </c>
    </row>
    <row r="184" spans="1:16" x14ac:dyDescent="0.35">
      <c r="A184" s="5" t="s">
        <v>276</v>
      </c>
      <c r="B184" s="5" t="str">
        <f>VLOOKUP(A184,schools!A184:B1932,2,FALSE)</f>
        <v>South Side High School</v>
      </c>
      <c r="C184" s="5" t="str">
        <f>VLOOKUP(A184,schools!A184:F1932,5,FALSE)</f>
        <v>Jackson</v>
      </c>
      <c r="D184" s="5" t="s">
        <v>273</v>
      </c>
      <c r="E184" s="5" t="s">
        <v>18</v>
      </c>
      <c r="F184" s="5">
        <v>174</v>
      </c>
      <c r="G184" s="5">
        <v>97</v>
      </c>
      <c r="H184" s="5">
        <v>17.5</v>
      </c>
      <c r="I184" s="5">
        <v>17.600000000000001</v>
      </c>
      <c r="J184" s="5">
        <v>18.600000000000001</v>
      </c>
      <c r="K184" s="5">
        <v>18</v>
      </c>
      <c r="L184" s="5">
        <v>18.100000000000001</v>
      </c>
      <c r="M184" s="5">
        <v>38</v>
      </c>
      <c r="N184" s="5">
        <v>110</v>
      </c>
      <c r="O184" s="5" t="str">
        <f t="shared" si="4"/>
        <v>Below 20</v>
      </c>
      <c r="P184" s="5" t="str">
        <f t="shared" si="5"/>
        <v>Not all at least 20</v>
      </c>
    </row>
    <row r="185" spans="1:16" x14ac:dyDescent="0.35">
      <c r="A185" s="5" t="s">
        <v>277</v>
      </c>
      <c r="B185" s="5" t="str">
        <f>VLOOKUP(A185,schools!A185:B1933,2,FALSE)</f>
        <v>Marion Co High School</v>
      </c>
      <c r="C185" s="5" t="str">
        <f>VLOOKUP(A185,schools!A185:F1933,5,FALSE)</f>
        <v>Jasper</v>
      </c>
      <c r="D185" s="5" t="s">
        <v>278</v>
      </c>
      <c r="E185" s="5" t="s">
        <v>18</v>
      </c>
      <c r="F185" s="5">
        <v>108</v>
      </c>
      <c r="G185" s="5">
        <v>100</v>
      </c>
      <c r="H185" s="5">
        <v>19.7</v>
      </c>
      <c r="I185" s="5">
        <v>19.3</v>
      </c>
      <c r="J185" s="5">
        <v>20.3</v>
      </c>
      <c r="K185" s="5">
        <v>20.3</v>
      </c>
      <c r="L185" s="5">
        <v>20</v>
      </c>
      <c r="M185" s="5">
        <v>50</v>
      </c>
      <c r="N185" s="5">
        <v>41</v>
      </c>
      <c r="O185" s="5" t="str">
        <f t="shared" si="4"/>
        <v>At least 20</v>
      </c>
      <c r="P185" s="5" t="str">
        <f t="shared" si="5"/>
        <v>Not all at least 20</v>
      </c>
    </row>
    <row r="186" spans="1:16" x14ac:dyDescent="0.35">
      <c r="A186" s="5" t="s">
        <v>279</v>
      </c>
      <c r="B186" s="5" t="str">
        <f>VLOOKUP(A186,schools!A186:B1934,2,FALSE)</f>
        <v>South Pittsburg High School</v>
      </c>
      <c r="C186" s="5" t="str">
        <f>VLOOKUP(A186,schools!A186:F1934,5,FALSE)</f>
        <v>South Pittsburg</v>
      </c>
      <c r="D186" s="5" t="s">
        <v>278</v>
      </c>
      <c r="E186" s="5" t="s">
        <v>18</v>
      </c>
      <c r="F186" s="5">
        <v>66</v>
      </c>
      <c r="G186" s="5">
        <v>100</v>
      </c>
      <c r="H186" s="5">
        <v>19.8</v>
      </c>
      <c r="I186" s="5">
        <v>19.100000000000001</v>
      </c>
      <c r="J186" s="5">
        <v>20.6</v>
      </c>
      <c r="K186" s="5">
        <v>19.8</v>
      </c>
      <c r="L186" s="5">
        <v>20</v>
      </c>
      <c r="M186" s="5">
        <v>25</v>
      </c>
      <c r="N186" s="5">
        <v>26</v>
      </c>
      <c r="O186" s="5" t="str">
        <f t="shared" si="4"/>
        <v>At least 20</v>
      </c>
      <c r="P186" s="5" t="str">
        <f t="shared" si="5"/>
        <v>Not all at least 20</v>
      </c>
    </row>
    <row r="187" spans="1:16" x14ac:dyDescent="0.35">
      <c r="A187" s="5" t="s">
        <v>280</v>
      </c>
      <c r="B187" s="5" t="str">
        <f>VLOOKUP(A187,schools!A187:B1935,2,FALSE)</f>
        <v>Whitwell High School</v>
      </c>
      <c r="C187" s="5" t="str">
        <f>VLOOKUP(A187,schools!A187:F1935,5,FALSE)</f>
        <v>Whitwell</v>
      </c>
      <c r="D187" s="5" t="s">
        <v>278</v>
      </c>
      <c r="E187" s="5" t="s">
        <v>18</v>
      </c>
      <c r="F187" s="5">
        <v>85</v>
      </c>
      <c r="G187" s="5">
        <v>98</v>
      </c>
      <c r="H187" s="5">
        <v>18.2</v>
      </c>
      <c r="I187" s="5">
        <v>17.8</v>
      </c>
      <c r="J187" s="5">
        <v>18.5</v>
      </c>
      <c r="K187" s="5">
        <v>19</v>
      </c>
      <c r="L187" s="5">
        <v>18.600000000000001</v>
      </c>
      <c r="M187" s="5">
        <v>25</v>
      </c>
      <c r="N187" s="5">
        <v>48</v>
      </c>
      <c r="O187" s="5" t="str">
        <f t="shared" si="4"/>
        <v>Below 20</v>
      </c>
      <c r="P187" s="5" t="str">
        <f t="shared" si="5"/>
        <v>Not all at least 20</v>
      </c>
    </row>
    <row r="188" spans="1:16" x14ac:dyDescent="0.35">
      <c r="A188" s="5" t="s">
        <v>281</v>
      </c>
      <c r="B188" s="5" t="str">
        <f>VLOOKUP(A188,schools!A188:B1936,2,FALSE)</f>
        <v>Richard Hardy Memorial School</v>
      </c>
      <c r="C188" s="5" t="str">
        <f>VLOOKUP(A188,schools!A188:F1936,5,FALSE)</f>
        <v>South Pittsburg</v>
      </c>
      <c r="D188" s="5" t="s">
        <v>282</v>
      </c>
      <c r="E188" s="5" t="s">
        <v>18</v>
      </c>
      <c r="F188" s="5">
        <v>22</v>
      </c>
      <c r="G188" s="5">
        <v>96</v>
      </c>
      <c r="H188" s="5">
        <v>19.600000000000001</v>
      </c>
      <c r="I188" s="5">
        <v>18.7</v>
      </c>
      <c r="J188" s="5">
        <v>20.8</v>
      </c>
      <c r="K188" s="5">
        <v>19.899999999999999</v>
      </c>
      <c r="L188" s="5">
        <v>19.899999999999999</v>
      </c>
      <c r="M188" s="5">
        <v>8</v>
      </c>
      <c r="N188" s="5">
        <v>10</v>
      </c>
      <c r="O188" s="5" t="str">
        <f t="shared" si="4"/>
        <v>Below 20</v>
      </c>
      <c r="P188" s="5" t="str">
        <f t="shared" si="5"/>
        <v>Not all at least 20</v>
      </c>
    </row>
    <row r="189" spans="1:16" x14ac:dyDescent="0.35">
      <c r="A189" s="5" t="s">
        <v>283</v>
      </c>
      <c r="B189" s="5" t="str">
        <f>VLOOKUP(A189,schools!A189:B1937,2,FALSE)</f>
        <v>Cornersville School</v>
      </c>
      <c r="C189" s="5" t="str">
        <f>VLOOKUP(A189,schools!A189:F1937,5,FALSE)</f>
        <v>Cornersville</v>
      </c>
      <c r="D189" s="5" t="s">
        <v>284</v>
      </c>
      <c r="E189" s="5" t="s">
        <v>18</v>
      </c>
      <c r="F189" s="5">
        <v>67</v>
      </c>
      <c r="G189" s="5">
        <v>100</v>
      </c>
      <c r="H189" s="5">
        <v>20.6</v>
      </c>
      <c r="I189" s="5">
        <v>20.399999999999999</v>
      </c>
      <c r="J189" s="5">
        <v>21.5</v>
      </c>
      <c r="K189" s="5">
        <v>21.8</v>
      </c>
      <c r="L189" s="5">
        <v>21.2</v>
      </c>
      <c r="M189" s="5">
        <v>37</v>
      </c>
      <c r="N189" s="5">
        <v>22</v>
      </c>
      <c r="O189" s="5" t="str">
        <f t="shared" si="4"/>
        <v>At least 20</v>
      </c>
      <c r="P189" s="5" t="str">
        <f t="shared" si="5"/>
        <v>All at least 20</v>
      </c>
    </row>
    <row r="190" spans="1:16" x14ac:dyDescent="0.35">
      <c r="A190" s="5" t="s">
        <v>285</v>
      </c>
      <c r="B190" s="5" t="str">
        <f>VLOOKUP(A190,schools!A190:B1938,2,FALSE)</f>
        <v>Forrest School</v>
      </c>
      <c r="C190" s="5" t="str">
        <f>VLOOKUP(A190,schools!A190:F1938,5,FALSE)</f>
        <v>Chapel Hill</v>
      </c>
      <c r="D190" s="5" t="s">
        <v>284</v>
      </c>
      <c r="E190" s="5" t="s">
        <v>18</v>
      </c>
      <c r="F190" s="5">
        <v>128</v>
      </c>
      <c r="G190" s="5">
        <v>100</v>
      </c>
      <c r="H190" s="5">
        <v>19.899999999999999</v>
      </c>
      <c r="I190" s="5">
        <v>19.5</v>
      </c>
      <c r="J190" s="5">
        <v>20.399999999999999</v>
      </c>
      <c r="K190" s="5">
        <v>20.2</v>
      </c>
      <c r="L190" s="5">
        <v>20.2</v>
      </c>
      <c r="M190" s="5">
        <v>52</v>
      </c>
      <c r="N190" s="5">
        <v>55</v>
      </c>
      <c r="O190" s="5" t="str">
        <f t="shared" si="4"/>
        <v>At least 20</v>
      </c>
      <c r="P190" s="5" t="str">
        <f t="shared" si="5"/>
        <v>Not all at least 20</v>
      </c>
    </row>
    <row r="191" spans="1:16" x14ac:dyDescent="0.35">
      <c r="A191" s="5" t="s">
        <v>286</v>
      </c>
      <c r="B191" s="5" t="str">
        <f>VLOOKUP(A191,schools!A191:B1939,2,FALSE)</f>
        <v>Marshall Co High School</v>
      </c>
      <c r="C191" s="5" t="str">
        <f>VLOOKUP(A191,schools!A191:F1939,5,FALSE)</f>
        <v>Lewisburg</v>
      </c>
      <c r="D191" s="5" t="s">
        <v>284</v>
      </c>
      <c r="E191" s="5" t="s">
        <v>18</v>
      </c>
      <c r="F191" s="5">
        <v>205</v>
      </c>
      <c r="G191" s="5">
        <v>100</v>
      </c>
      <c r="H191" s="5">
        <v>18.8</v>
      </c>
      <c r="I191" s="5">
        <v>18.600000000000001</v>
      </c>
      <c r="J191" s="5">
        <v>20.2</v>
      </c>
      <c r="K191" s="5">
        <v>19.8</v>
      </c>
      <c r="L191" s="5">
        <v>19.5</v>
      </c>
      <c r="M191" s="5">
        <v>77</v>
      </c>
      <c r="N191" s="5">
        <v>96</v>
      </c>
      <c r="O191" s="5" t="str">
        <f t="shared" si="4"/>
        <v>Below 20</v>
      </c>
      <c r="P191" s="5" t="str">
        <f t="shared" si="5"/>
        <v>Not all at least 20</v>
      </c>
    </row>
    <row r="192" spans="1:16" x14ac:dyDescent="0.35">
      <c r="A192" s="5" t="s">
        <v>287</v>
      </c>
      <c r="B192" s="5" t="str">
        <f>VLOOKUP(A192,schools!A192:B1940,2,FALSE)</f>
        <v>Columbia Central High School</v>
      </c>
      <c r="C192" s="5" t="str">
        <f>VLOOKUP(A192,schools!A192:F1940,5,FALSE)</f>
        <v>Columbia</v>
      </c>
      <c r="D192" s="5" t="s">
        <v>288</v>
      </c>
      <c r="E192" s="5" t="s">
        <v>18</v>
      </c>
      <c r="F192" s="5">
        <v>284</v>
      </c>
      <c r="G192" s="5">
        <v>98</v>
      </c>
      <c r="H192" s="5">
        <v>18.2</v>
      </c>
      <c r="I192" s="5">
        <v>18.2</v>
      </c>
      <c r="J192" s="5">
        <v>19.600000000000001</v>
      </c>
      <c r="K192" s="5">
        <v>18.7</v>
      </c>
      <c r="L192" s="5">
        <v>18.8</v>
      </c>
      <c r="M192" s="5">
        <v>91</v>
      </c>
      <c r="N192" s="5">
        <v>153</v>
      </c>
      <c r="O192" s="5" t="str">
        <f t="shared" si="4"/>
        <v>Below 20</v>
      </c>
      <c r="P192" s="5" t="str">
        <f t="shared" si="5"/>
        <v>Not all at least 20</v>
      </c>
    </row>
    <row r="193" spans="1:16" x14ac:dyDescent="0.35">
      <c r="A193" s="5" t="s">
        <v>289</v>
      </c>
      <c r="B193" s="5" t="str">
        <f>VLOOKUP(A193,schools!A193:B1941,2,FALSE)</f>
        <v>Culleoka Unit School</v>
      </c>
      <c r="C193" s="5" t="str">
        <f>VLOOKUP(A193,schools!A193:F1941,5,FALSE)</f>
        <v>Culleoka</v>
      </c>
      <c r="D193" s="5" t="s">
        <v>288</v>
      </c>
      <c r="E193" s="5" t="s">
        <v>18</v>
      </c>
      <c r="F193" s="5">
        <v>51</v>
      </c>
      <c r="G193" s="5">
        <v>98</v>
      </c>
      <c r="H193" s="5">
        <v>18.8</v>
      </c>
      <c r="I193" s="5">
        <v>18.8</v>
      </c>
      <c r="J193" s="5">
        <v>19.399999999999999</v>
      </c>
      <c r="K193" s="5">
        <v>19.8</v>
      </c>
      <c r="L193" s="5">
        <v>19.399999999999999</v>
      </c>
      <c r="M193" s="5">
        <v>19</v>
      </c>
      <c r="N193" s="5">
        <v>23</v>
      </c>
      <c r="O193" s="5" t="str">
        <f t="shared" si="4"/>
        <v>Below 20</v>
      </c>
      <c r="P193" s="5" t="str">
        <f t="shared" si="5"/>
        <v>Not all at least 20</v>
      </c>
    </row>
    <row r="194" spans="1:16" x14ac:dyDescent="0.35">
      <c r="A194" s="5" t="s">
        <v>290</v>
      </c>
      <c r="B194" s="5" t="str">
        <f>VLOOKUP(A194,schools!A194:B1942,2,FALSE)</f>
        <v>Hampshire Unit School</v>
      </c>
      <c r="C194" s="5" t="str">
        <f>VLOOKUP(A194,schools!A194:F1942,5,FALSE)</f>
        <v>Hampshire</v>
      </c>
      <c r="D194" s="5" t="s">
        <v>288</v>
      </c>
      <c r="E194" s="5" t="s">
        <v>18</v>
      </c>
      <c r="F194" s="5">
        <v>20</v>
      </c>
      <c r="G194" s="5">
        <v>100</v>
      </c>
      <c r="H194" s="5">
        <v>20</v>
      </c>
      <c r="I194" s="5">
        <v>19.899999999999999</v>
      </c>
      <c r="J194" s="5">
        <v>19.399999999999999</v>
      </c>
      <c r="K194" s="5">
        <v>20.100000000000001</v>
      </c>
      <c r="L194" s="5">
        <v>20</v>
      </c>
      <c r="M194" s="5">
        <v>9</v>
      </c>
      <c r="N194" s="5">
        <v>8</v>
      </c>
      <c r="O194" s="5" t="str">
        <f t="shared" si="4"/>
        <v>At least 20</v>
      </c>
      <c r="P194" s="5" t="str">
        <f t="shared" si="5"/>
        <v>Not all at least 20</v>
      </c>
    </row>
    <row r="195" spans="1:16" x14ac:dyDescent="0.35">
      <c r="A195" s="5" t="s">
        <v>291</v>
      </c>
      <c r="B195" s="5" t="str">
        <f>VLOOKUP(A195,schools!A195:B1943,2,FALSE)</f>
        <v>Mt Pleasant High School</v>
      </c>
      <c r="C195" s="5" t="str">
        <f>VLOOKUP(A195,schools!A195:F1943,5,FALSE)</f>
        <v>Mt Pleasant</v>
      </c>
      <c r="D195" s="5" t="s">
        <v>288</v>
      </c>
      <c r="E195" s="5" t="s">
        <v>18</v>
      </c>
      <c r="F195" s="5">
        <v>85</v>
      </c>
      <c r="G195" s="5">
        <v>94</v>
      </c>
      <c r="H195" s="5">
        <v>18.5</v>
      </c>
      <c r="I195" s="5">
        <v>18.8</v>
      </c>
      <c r="J195" s="5">
        <v>20.2</v>
      </c>
      <c r="K195" s="5">
        <v>19.899999999999999</v>
      </c>
      <c r="L195" s="5">
        <v>19.5</v>
      </c>
      <c r="M195" s="5">
        <v>33</v>
      </c>
      <c r="N195" s="5">
        <v>38</v>
      </c>
      <c r="O195" s="5" t="str">
        <f t="shared" ref="O195:O258" si="6">IFERROR(VLOOKUP(L195,$Q$2:$S$4,3,TRUE), "Score Not Available")</f>
        <v>Below 20</v>
      </c>
      <c r="P195" s="5" t="str">
        <f t="shared" ref="P195:P258" si="7">IFERROR(IF(MIN(H195,I195,J195,K195)&gt;20,"All at least 20", "Not all at least 20"),"Scores Not Available")</f>
        <v>Not all at least 20</v>
      </c>
    </row>
    <row r="196" spans="1:16" x14ac:dyDescent="0.35">
      <c r="A196" s="5" t="s">
        <v>292</v>
      </c>
      <c r="B196" s="5" t="str">
        <f>VLOOKUP(A196,schools!A196:B1944,2,FALSE)</f>
        <v>Santa Fe Unit School</v>
      </c>
      <c r="C196" s="5" t="str">
        <f>VLOOKUP(A196,schools!A196:F1944,5,FALSE)</f>
        <v>Santa Fe</v>
      </c>
      <c r="D196" s="5" t="s">
        <v>288</v>
      </c>
      <c r="E196" s="5" t="s">
        <v>18</v>
      </c>
      <c r="F196" s="5">
        <v>48</v>
      </c>
      <c r="G196" s="5">
        <v>100</v>
      </c>
      <c r="H196" s="5">
        <v>20.3</v>
      </c>
      <c r="I196" s="5">
        <v>20.100000000000001</v>
      </c>
      <c r="J196" s="5">
        <v>19.3</v>
      </c>
      <c r="K196" s="5">
        <v>19.899999999999999</v>
      </c>
      <c r="L196" s="5">
        <v>20</v>
      </c>
      <c r="M196" s="5">
        <v>18</v>
      </c>
      <c r="N196" s="5">
        <v>21</v>
      </c>
      <c r="O196" s="5" t="str">
        <f t="shared" si="6"/>
        <v>At least 20</v>
      </c>
      <c r="P196" s="5" t="str">
        <f t="shared" si="7"/>
        <v>Not all at least 20</v>
      </c>
    </row>
    <row r="197" spans="1:16" x14ac:dyDescent="0.35">
      <c r="A197" s="5" t="s">
        <v>293</v>
      </c>
      <c r="B197" s="5" t="str">
        <f>VLOOKUP(A197,schools!A197:B1945,2,FALSE)</f>
        <v>Spring Hill High School</v>
      </c>
      <c r="C197" s="5" t="str">
        <f>VLOOKUP(A197,schools!A197:F1945,5,FALSE)</f>
        <v>Columbia</v>
      </c>
      <c r="D197" s="5" t="s">
        <v>288</v>
      </c>
      <c r="E197" s="5" t="s">
        <v>18</v>
      </c>
      <c r="F197" s="5">
        <v>224</v>
      </c>
      <c r="G197" s="5">
        <v>95</v>
      </c>
      <c r="H197" s="5">
        <v>19.8</v>
      </c>
      <c r="I197" s="5">
        <v>19.5</v>
      </c>
      <c r="J197" s="5">
        <v>20.9</v>
      </c>
      <c r="K197" s="5">
        <v>20.100000000000001</v>
      </c>
      <c r="L197" s="5">
        <v>20.2</v>
      </c>
      <c r="M197" s="5">
        <v>95</v>
      </c>
      <c r="N197" s="5">
        <v>92</v>
      </c>
      <c r="O197" s="5" t="str">
        <f t="shared" si="6"/>
        <v>At least 20</v>
      </c>
      <c r="P197" s="5" t="str">
        <f t="shared" si="7"/>
        <v>Not all at least 20</v>
      </c>
    </row>
    <row r="198" spans="1:16" x14ac:dyDescent="0.35">
      <c r="A198" s="5" t="s">
        <v>294</v>
      </c>
      <c r="B198" s="5" t="str">
        <f>VLOOKUP(A198,schools!A198:B1946,2,FALSE)</f>
        <v>Northfield Academy</v>
      </c>
      <c r="C198" s="5" t="str">
        <f>VLOOKUP(A198,schools!A198:F1946,5,FALSE)</f>
        <v>Spring Hill</v>
      </c>
      <c r="D198" s="5" t="s">
        <v>288</v>
      </c>
      <c r="E198" s="5" t="s">
        <v>18</v>
      </c>
      <c r="F198" s="5">
        <v>36</v>
      </c>
      <c r="G198" s="5">
        <v>67</v>
      </c>
      <c r="H198" s="5">
        <v>15.6</v>
      </c>
      <c r="I198" s="5">
        <v>16.5</v>
      </c>
      <c r="J198" s="5">
        <v>17.100000000000001</v>
      </c>
      <c r="K198" s="5">
        <v>17.3</v>
      </c>
      <c r="L198" s="5">
        <v>16.899999999999999</v>
      </c>
      <c r="M198" s="5">
        <v>9</v>
      </c>
      <c r="N198" s="5">
        <v>26</v>
      </c>
      <c r="O198" s="5" t="str">
        <f t="shared" si="6"/>
        <v>Below 20</v>
      </c>
      <c r="P198" s="5" t="str">
        <f t="shared" si="7"/>
        <v>Not all at least 20</v>
      </c>
    </row>
    <row r="199" spans="1:16" x14ac:dyDescent="0.35">
      <c r="A199" s="5" t="s">
        <v>295</v>
      </c>
      <c r="B199" s="5" t="str">
        <f>VLOOKUP(A199,schools!A199:B1947,2,FALSE)</f>
        <v>Meigs County High School</v>
      </c>
      <c r="C199" s="5" t="str">
        <f>VLOOKUP(A199,schools!A199:F1947,5,FALSE)</f>
        <v>Decatur</v>
      </c>
      <c r="D199" s="5" t="s">
        <v>296</v>
      </c>
      <c r="E199" s="5" t="s">
        <v>18</v>
      </c>
      <c r="F199" s="5">
        <v>115</v>
      </c>
      <c r="G199" s="5">
        <v>100</v>
      </c>
      <c r="H199" s="5">
        <v>20.2</v>
      </c>
      <c r="I199" s="5">
        <v>19.399999999999999</v>
      </c>
      <c r="J199" s="5">
        <v>20</v>
      </c>
      <c r="K199" s="5">
        <v>20</v>
      </c>
      <c r="L199" s="5">
        <v>20.100000000000001</v>
      </c>
      <c r="M199" s="5">
        <v>50</v>
      </c>
      <c r="N199" s="5">
        <v>47</v>
      </c>
      <c r="O199" s="5" t="str">
        <f t="shared" si="6"/>
        <v>At least 20</v>
      </c>
      <c r="P199" s="5" t="str">
        <f t="shared" si="7"/>
        <v>Not all at least 20</v>
      </c>
    </row>
    <row r="200" spans="1:16" x14ac:dyDescent="0.35">
      <c r="A200" s="5" t="s">
        <v>297</v>
      </c>
      <c r="B200" s="5" t="str">
        <f>VLOOKUP(A200,schools!A200:B1948,2,FALSE)</f>
        <v>Sequoyah High School</v>
      </c>
      <c r="C200" s="5" t="str">
        <f>VLOOKUP(A200,schools!A200:F1948,5,FALSE)</f>
        <v>Madisonville</v>
      </c>
      <c r="D200" s="5" t="s">
        <v>298</v>
      </c>
      <c r="E200" s="5" t="s">
        <v>18</v>
      </c>
      <c r="F200" s="5">
        <v>204</v>
      </c>
      <c r="G200" s="5">
        <v>99</v>
      </c>
      <c r="H200" s="5">
        <v>17.5</v>
      </c>
      <c r="I200" s="5">
        <v>18.5</v>
      </c>
      <c r="J200" s="5">
        <v>19.3</v>
      </c>
      <c r="K200" s="5">
        <v>18.8</v>
      </c>
      <c r="L200" s="5">
        <v>18.7</v>
      </c>
      <c r="M200" s="5">
        <v>63</v>
      </c>
      <c r="N200" s="5">
        <v>107</v>
      </c>
      <c r="O200" s="5" t="str">
        <f t="shared" si="6"/>
        <v>Below 20</v>
      </c>
      <c r="P200" s="5" t="str">
        <f t="shared" si="7"/>
        <v>Not all at least 20</v>
      </c>
    </row>
    <row r="201" spans="1:16" x14ac:dyDescent="0.35">
      <c r="A201" s="5" t="s">
        <v>299</v>
      </c>
      <c r="B201" s="5" t="str">
        <f>VLOOKUP(A201,schools!A201:B1949,2,FALSE)</f>
        <v>Sweetwater High School</v>
      </c>
      <c r="C201" s="5" t="str">
        <f>VLOOKUP(A201,schools!A201:F1949,5,FALSE)</f>
        <v>Sweetwater</v>
      </c>
      <c r="D201" s="5" t="s">
        <v>298</v>
      </c>
      <c r="E201" s="5" t="s">
        <v>18</v>
      </c>
      <c r="F201" s="5">
        <v>157</v>
      </c>
      <c r="G201" s="5">
        <v>99</v>
      </c>
      <c r="H201" s="5">
        <v>17.100000000000001</v>
      </c>
      <c r="I201" s="5">
        <v>18</v>
      </c>
      <c r="J201" s="5">
        <v>18</v>
      </c>
      <c r="K201" s="5">
        <v>18.2</v>
      </c>
      <c r="L201" s="5">
        <v>18</v>
      </c>
      <c r="M201" s="5">
        <v>41</v>
      </c>
      <c r="N201" s="5">
        <v>87</v>
      </c>
      <c r="O201" s="5" t="str">
        <f t="shared" si="6"/>
        <v>Below 20</v>
      </c>
      <c r="P201" s="5" t="str">
        <f t="shared" si="7"/>
        <v>Not all at least 20</v>
      </c>
    </row>
    <row r="202" spans="1:16" x14ac:dyDescent="0.35">
      <c r="A202" s="5" t="s">
        <v>300</v>
      </c>
      <c r="B202" s="5" t="str">
        <f>VLOOKUP(A202,schools!A202:B1950,2,FALSE)</f>
        <v>Tellico Plains High School</v>
      </c>
      <c r="C202" s="5" t="str">
        <f>VLOOKUP(A202,schools!A202:F1950,5,FALSE)</f>
        <v>Tellico Plains</v>
      </c>
      <c r="D202" s="5" t="s">
        <v>298</v>
      </c>
      <c r="E202" s="5" t="s">
        <v>18</v>
      </c>
      <c r="F202" s="5">
        <v>97</v>
      </c>
      <c r="G202" s="5">
        <v>94</v>
      </c>
      <c r="H202" s="5">
        <v>17.899999999999999</v>
      </c>
      <c r="I202" s="5">
        <v>18.5</v>
      </c>
      <c r="J202" s="5">
        <v>18.399999999999999</v>
      </c>
      <c r="K202" s="5">
        <v>19</v>
      </c>
      <c r="L202" s="5">
        <v>18.600000000000001</v>
      </c>
      <c r="M202" s="5">
        <v>28</v>
      </c>
      <c r="N202" s="5">
        <v>50</v>
      </c>
      <c r="O202" s="5" t="str">
        <f t="shared" si="6"/>
        <v>Below 20</v>
      </c>
      <c r="P202" s="5" t="str">
        <f t="shared" si="7"/>
        <v>Not all at least 20</v>
      </c>
    </row>
    <row r="203" spans="1:16" x14ac:dyDescent="0.35">
      <c r="A203" s="5" t="s">
        <v>301</v>
      </c>
      <c r="B203" s="5" t="str">
        <f>VLOOKUP(A203,schools!A203:B1951,2,FALSE)</f>
        <v>Kenwood High</v>
      </c>
      <c r="C203" s="5" t="str">
        <f>VLOOKUP(A203,schools!A203:F1951,5,FALSE)</f>
        <v>Clarksville</v>
      </c>
      <c r="D203" s="5" t="s">
        <v>302</v>
      </c>
      <c r="E203" s="5" t="s">
        <v>18</v>
      </c>
      <c r="F203" s="5">
        <v>272</v>
      </c>
      <c r="G203" s="5">
        <v>100</v>
      </c>
      <c r="H203" s="5">
        <v>17.399999999999999</v>
      </c>
      <c r="I203" s="5">
        <v>18.2</v>
      </c>
      <c r="J203" s="5">
        <v>19.3</v>
      </c>
      <c r="K203" s="5">
        <v>19.399999999999999</v>
      </c>
      <c r="L203" s="5">
        <v>18.7</v>
      </c>
      <c r="M203" s="5">
        <v>81</v>
      </c>
      <c r="N203" s="5">
        <v>157</v>
      </c>
      <c r="O203" s="5" t="str">
        <f t="shared" si="6"/>
        <v>Below 20</v>
      </c>
      <c r="P203" s="5" t="str">
        <f t="shared" si="7"/>
        <v>Not all at least 20</v>
      </c>
    </row>
    <row r="204" spans="1:16" x14ac:dyDescent="0.35">
      <c r="A204" s="5" t="s">
        <v>303</v>
      </c>
      <c r="B204" s="5" t="str">
        <f>VLOOKUP(A204,schools!A204:B1952,2,FALSE)</f>
        <v>Montgomery Central High</v>
      </c>
      <c r="C204" s="5" t="str">
        <f>VLOOKUP(A204,schools!A204:F1952,5,FALSE)</f>
        <v>Cunningham</v>
      </c>
      <c r="D204" s="5" t="s">
        <v>302</v>
      </c>
      <c r="E204" s="5" t="s">
        <v>18</v>
      </c>
      <c r="F204" s="5">
        <v>244</v>
      </c>
      <c r="G204" s="5">
        <v>99</v>
      </c>
      <c r="H204" s="5">
        <v>19.2</v>
      </c>
      <c r="I204" s="5">
        <v>19.100000000000001</v>
      </c>
      <c r="J204" s="5">
        <v>20.7</v>
      </c>
      <c r="K204" s="5">
        <v>20.100000000000001</v>
      </c>
      <c r="L204" s="5">
        <v>20</v>
      </c>
      <c r="M204" s="5">
        <v>97</v>
      </c>
      <c r="N204" s="5">
        <v>106</v>
      </c>
      <c r="O204" s="5" t="str">
        <f t="shared" si="6"/>
        <v>At least 20</v>
      </c>
      <c r="P204" s="5" t="str">
        <f t="shared" si="7"/>
        <v>Not all at least 20</v>
      </c>
    </row>
    <row r="205" spans="1:16" x14ac:dyDescent="0.35">
      <c r="A205" s="5" t="s">
        <v>304</v>
      </c>
      <c r="B205" s="5" t="str">
        <f>VLOOKUP(A205,schools!A205:B1953,2,FALSE)</f>
        <v>Clarksville High</v>
      </c>
      <c r="C205" s="5" t="str">
        <f>VLOOKUP(A205,schools!A205:F1953,5,FALSE)</f>
        <v>Clarksville</v>
      </c>
      <c r="D205" s="5" t="s">
        <v>302</v>
      </c>
      <c r="E205" s="5" t="s">
        <v>18</v>
      </c>
      <c r="F205" s="5">
        <v>322</v>
      </c>
      <c r="G205" s="5">
        <v>98</v>
      </c>
      <c r="H205" s="5">
        <v>21.1</v>
      </c>
      <c r="I205" s="5">
        <v>20.7</v>
      </c>
      <c r="J205" s="5">
        <v>22.5</v>
      </c>
      <c r="K205" s="5">
        <v>21.7</v>
      </c>
      <c r="L205" s="5">
        <v>21.6</v>
      </c>
      <c r="M205" s="5">
        <v>175</v>
      </c>
      <c r="N205" s="5">
        <v>98</v>
      </c>
      <c r="O205" s="5" t="str">
        <f t="shared" si="6"/>
        <v>At least 20</v>
      </c>
      <c r="P205" s="5" t="str">
        <f t="shared" si="7"/>
        <v>All at least 20</v>
      </c>
    </row>
    <row r="206" spans="1:16" x14ac:dyDescent="0.35">
      <c r="A206" s="5" t="s">
        <v>305</v>
      </c>
      <c r="B206" s="5" t="str">
        <f>VLOOKUP(A206,schools!A206:B1954,2,FALSE)</f>
        <v>Northeast High</v>
      </c>
      <c r="C206" s="5" t="str">
        <f>VLOOKUP(A206,schools!A206:F1954,5,FALSE)</f>
        <v>Clarksville</v>
      </c>
      <c r="D206" s="5" t="s">
        <v>302</v>
      </c>
      <c r="E206" s="5" t="s">
        <v>18</v>
      </c>
      <c r="F206" s="5">
        <v>301</v>
      </c>
      <c r="G206" s="5">
        <v>99</v>
      </c>
      <c r="H206" s="5">
        <v>18.7</v>
      </c>
      <c r="I206" s="5">
        <v>18.7</v>
      </c>
      <c r="J206" s="5">
        <v>20.8</v>
      </c>
      <c r="K206" s="5">
        <v>20</v>
      </c>
      <c r="L206" s="5">
        <v>19.7</v>
      </c>
      <c r="M206" s="5">
        <v>111</v>
      </c>
      <c r="N206" s="5">
        <v>134</v>
      </c>
      <c r="O206" s="5" t="str">
        <f t="shared" si="6"/>
        <v>Below 20</v>
      </c>
      <c r="P206" s="5" t="str">
        <f t="shared" si="7"/>
        <v>Not all at least 20</v>
      </c>
    </row>
    <row r="207" spans="1:16" x14ac:dyDescent="0.35">
      <c r="A207" s="5" t="s">
        <v>306</v>
      </c>
      <c r="B207" s="5" t="str">
        <f>VLOOKUP(A207,schools!A207:B1955,2,FALSE)</f>
        <v>Northwest High</v>
      </c>
      <c r="C207" s="5" t="str">
        <f>VLOOKUP(A207,schools!A207:F1955,5,FALSE)</f>
        <v>Clarksville</v>
      </c>
      <c r="D207" s="5" t="s">
        <v>302</v>
      </c>
      <c r="E207" s="5" t="s">
        <v>18</v>
      </c>
      <c r="F207" s="5">
        <v>295</v>
      </c>
      <c r="G207" s="5">
        <v>99</v>
      </c>
      <c r="H207" s="5">
        <v>18.600000000000001</v>
      </c>
      <c r="I207" s="5">
        <v>18.899999999999999</v>
      </c>
      <c r="J207" s="5">
        <v>19.8</v>
      </c>
      <c r="K207" s="5">
        <v>19.8</v>
      </c>
      <c r="L207" s="5">
        <v>19.399999999999999</v>
      </c>
      <c r="M207" s="5">
        <v>113</v>
      </c>
      <c r="N207" s="5">
        <v>140</v>
      </c>
      <c r="O207" s="5" t="str">
        <f t="shared" si="6"/>
        <v>Below 20</v>
      </c>
      <c r="P207" s="5" t="str">
        <f t="shared" si="7"/>
        <v>Not all at least 20</v>
      </c>
    </row>
    <row r="208" spans="1:16" x14ac:dyDescent="0.35">
      <c r="A208" s="5" t="s">
        <v>307</v>
      </c>
      <c r="B208" s="5" t="str">
        <f>VLOOKUP(A208,schools!A208:B1956,2,FALSE)</f>
        <v>Rossview High</v>
      </c>
      <c r="C208" s="5" t="str">
        <f>VLOOKUP(A208,schools!A208:F1956,5,FALSE)</f>
        <v>Clarksville</v>
      </c>
      <c r="D208" s="5" t="s">
        <v>302</v>
      </c>
      <c r="E208" s="5" t="s">
        <v>18</v>
      </c>
      <c r="F208" s="5">
        <v>372</v>
      </c>
      <c r="G208" s="5">
        <v>97</v>
      </c>
      <c r="H208" s="5">
        <v>21.5</v>
      </c>
      <c r="I208" s="5">
        <v>21</v>
      </c>
      <c r="J208" s="5">
        <v>22.7</v>
      </c>
      <c r="K208" s="5">
        <v>22</v>
      </c>
      <c r="L208" s="5">
        <v>21.9</v>
      </c>
      <c r="M208" s="5">
        <v>213</v>
      </c>
      <c r="N208" s="5">
        <v>110</v>
      </c>
      <c r="O208" s="5" t="str">
        <f t="shared" si="6"/>
        <v>At least 20</v>
      </c>
      <c r="P208" s="5" t="str">
        <f t="shared" si="7"/>
        <v>All at least 20</v>
      </c>
    </row>
    <row r="209" spans="1:16" x14ac:dyDescent="0.35">
      <c r="A209" s="5" t="s">
        <v>308</v>
      </c>
      <c r="B209" s="5" t="str">
        <f>VLOOKUP(A209,schools!A209:B1957,2,FALSE)</f>
        <v>Middle College @ Austin Peay State University</v>
      </c>
      <c r="C209" s="5" t="str">
        <f>VLOOKUP(A209,schools!A209:F1957,5,FALSE)</f>
        <v>Clarksville</v>
      </c>
      <c r="D209" s="5" t="s">
        <v>302</v>
      </c>
      <c r="E209" s="5" t="s">
        <v>18</v>
      </c>
      <c r="F209" s="5">
        <v>62</v>
      </c>
      <c r="G209" s="5">
        <v>100</v>
      </c>
      <c r="H209" s="5">
        <v>27.1</v>
      </c>
      <c r="I209" s="5">
        <v>23.8</v>
      </c>
      <c r="J209" s="5">
        <v>26.4</v>
      </c>
      <c r="K209" s="5">
        <v>25.4</v>
      </c>
      <c r="L209" s="5">
        <v>25.9</v>
      </c>
      <c r="M209" s="5" t="s">
        <v>41</v>
      </c>
      <c r="N209" s="5" t="s">
        <v>41</v>
      </c>
      <c r="O209" s="5" t="str">
        <f t="shared" si="6"/>
        <v>At least 20</v>
      </c>
      <c r="P209" s="5" t="str">
        <f t="shared" si="7"/>
        <v>All at least 20</v>
      </c>
    </row>
    <row r="210" spans="1:16" x14ac:dyDescent="0.35">
      <c r="A210" s="5" t="s">
        <v>309</v>
      </c>
      <c r="B210" s="5" t="str">
        <f>VLOOKUP(A210,schools!A210:B1958,2,FALSE)</f>
        <v>West Creek High</v>
      </c>
      <c r="C210" s="5" t="str">
        <f>VLOOKUP(A210,schools!A210:F1958,5,FALSE)</f>
        <v>Clarksville</v>
      </c>
      <c r="D210" s="5" t="s">
        <v>302</v>
      </c>
      <c r="E210" s="5" t="s">
        <v>18</v>
      </c>
      <c r="F210" s="5">
        <v>334</v>
      </c>
      <c r="G210" s="5">
        <v>99</v>
      </c>
      <c r="H210" s="5">
        <v>18.600000000000001</v>
      </c>
      <c r="I210" s="5">
        <v>18.8</v>
      </c>
      <c r="J210" s="5">
        <v>20.399999999999999</v>
      </c>
      <c r="K210" s="5">
        <v>19.7</v>
      </c>
      <c r="L210" s="5">
        <v>19.5</v>
      </c>
      <c r="M210" s="5">
        <v>122</v>
      </c>
      <c r="N210" s="5">
        <v>151</v>
      </c>
      <c r="O210" s="5" t="str">
        <f t="shared" si="6"/>
        <v>Below 20</v>
      </c>
      <c r="P210" s="5" t="str">
        <f t="shared" si="7"/>
        <v>Not all at least 20</v>
      </c>
    </row>
    <row r="211" spans="1:16" x14ac:dyDescent="0.35">
      <c r="A211" s="5" t="s">
        <v>310</v>
      </c>
      <c r="B211" s="5" t="str">
        <f>VLOOKUP(A211,schools!A211:B1959,2,FALSE)</f>
        <v>Moore County High School</v>
      </c>
      <c r="C211" s="5" t="str">
        <f>VLOOKUP(A211,schools!A211:F1959,5,FALSE)</f>
        <v>Lynchburg</v>
      </c>
      <c r="D211" s="5" t="s">
        <v>311</v>
      </c>
      <c r="E211" s="5" t="s">
        <v>18</v>
      </c>
      <c r="F211" s="5">
        <v>71</v>
      </c>
      <c r="G211" s="5">
        <v>100</v>
      </c>
      <c r="H211" s="5">
        <v>20.100000000000001</v>
      </c>
      <c r="I211" s="5">
        <v>20.100000000000001</v>
      </c>
      <c r="J211" s="5">
        <v>21.5</v>
      </c>
      <c r="K211" s="5">
        <v>20.399999999999999</v>
      </c>
      <c r="L211" s="5">
        <v>20.6</v>
      </c>
      <c r="M211" s="5">
        <v>36</v>
      </c>
      <c r="N211" s="5">
        <v>28</v>
      </c>
      <c r="O211" s="5" t="str">
        <f t="shared" si="6"/>
        <v>At least 20</v>
      </c>
      <c r="P211" s="5" t="str">
        <f t="shared" si="7"/>
        <v>All at least 20</v>
      </c>
    </row>
    <row r="212" spans="1:16" x14ac:dyDescent="0.35">
      <c r="A212" s="5" t="s">
        <v>312</v>
      </c>
      <c r="B212" s="5" t="str">
        <f>VLOOKUP(A212,schools!A212:B1960,2,FALSE)</f>
        <v>Central High School</v>
      </c>
      <c r="C212" s="5" t="str">
        <f>VLOOKUP(A212,schools!A212:F1960,5,FALSE)</f>
        <v>Wartburg</v>
      </c>
      <c r="D212" s="5" t="s">
        <v>313</v>
      </c>
      <c r="E212" s="5" t="s">
        <v>18</v>
      </c>
      <c r="F212" s="5">
        <v>79</v>
      </c>
      <c r="G212" s="5">
        <v>99</v>
      </c>
      <c r="H212" s="5">
        <v>19.399999999999999</v>
      </c>
      <c r="I212" s="5">
        <v>18.8</v>
      </c>
      <c r="J212" s="5">
        <v>20.100000000000001</v>
      </c>
      <c r="K212" s="5">
        <v>19.899999999999999</v>
      </c>
      <c r="L212" s="5">
        <v>19.7</v>
      </c>
      <c r="M212" s="5">
        <v>27</v>
      </c>
      <c r="N212" s="5">
        <v>30</v>
      </c>
      <c r="O212" s="5" t="str">
        <f t="shared" si="6"/>
        <v>Below 20</v>
      </c>
      <c r="P212" s="5" t="str">
        <f t="shared" si="7"/>
        <v>Not all at least 20</v>
      </c>
    </row>
    <row r="213" spans="1:16" x14ac:dyDescent="0.35">
      <c r="A213" s="5" t="s">
        <v>314</v>
      </c>
      <c r="B213" s="5" t="str">
        <f>VLOOKUP(A213,schools!A213:B1961,2,FALSE)</f>
        <v>Coalfield School</v>
      </c>
      <c r="C213" s="5" t="str">
        <f>VLOOKUP(A213,schools!A213:F1961,5,FALSE)</f>
        <v>Coalfield</v>
      </c>
      <c r="D213" s="5" t="s">
        <v>313</v>
      </c>
      <c r="E213" s="5" t="s">
        <v>18</v>
      </c>
      <c r="F213" s="5">
        <v>43</v>
      </c>
      <c r="G213" s="5">
        <v>100</v>
      </c>
      <c r="H213" s="5">
        <v>18.600000000000001</v>
      </c>
      <c r="I213" s="5">
        <v>17.8</v>
      </c>
      <c r="J213" s="5">
        <v>20.3</v>
      </c>
      <c r="K213" s="5">
        <v>19.3</v>
      </c>
      <c r="L213" s="5">
        <v>19.100000000000001</v>
      </c>
      <c r="M213" s="5">
        <v>12</v>
      </c>
      <c r="N213" s="5">
        <v>25</v>
      </c>
      <c r="O213" s="5" t="str">
        <f t="shared" si="6"/>
        <v>Below 20</v>
      </c>
      <c r="P213" s="5" t="str">
        <f t="shared" si="7"/>
        <v>Not all at least 20</v>
      </c>
    </row>
    <row r="214" spans="1:16" x14ac:dyDescent="0.35">
      <c r="A214" s="5" t="s">
        <v>315</v>
      </c>
      <c r="B214" s="5" t="str">
        <f>VLOOKUP(A214,schools!A214:B1962,2,FALSE)</f>
        <v>Oakdale School</v>
      </c>
      <c r="C214" s="5" t="str">
        <f>VLOOKUP(A214,schools!A214:F1962,5,FALSE)</f>
        <v>Oakdale</v>
      </c>
      <c r="D214" s="5" t="s">
        <v>313</v>
      </c>
      <c r="E214" s="5" t="s">
        <v>18</v>
      </c>
      <c r="F214" s="5">
        <v>41</v>
      </c>
      <c r="G214" s="5">
        <v>100</v>
      </c>
      <c r="H214" s="5">
        <v>17.600000000000001</v>
      </c>
      <c r="I214" s="5">
        <v>17.3</v>
      </c>
      <c r="J214" s="5">
        <v>19.100000000000001</v>
      </c>
      <c r="K214" s="5">
        <v>18.8</v>
      </c>
      <c r="L214" s="5">
        <v>18.399999999999999</v>
      </c>
      <c r="M214" s="5">
        <v>12</v>
      </c>
      <c r="N214" s="5">
        <v>23</v>
      </c>
      <c r="O214" s="5" t="str">
        <f t="shared" si="6"/>
        <v>Below 20</v>
      </c>
      <c r="P214" s="5" t="str">
        <f t="shared" si="7"/>
        <v>Not all at least 20</v>
      </c>
    </row>
    <row r="215" spans="1:16" x14ac:dyDescent="0.35">
      <c r="A215" s="5" t="s">
        <v>316</v>
      </c>
      <c r="B215" s="5" t="str">
        <f>VLOOKUP(A215,schools!A215:B1963,2,FALSE)</f>
        <v>Sunbright School</v>
      </c>
      <c r="C215" s="5" t="str">
        <f>VLOOKUP(A215,schools!A215:F1963,5,FALSE)</f>
        <v>Sunbright</v>
      </c>
      <c r="D215" s="5" t="s">
        <v>313</v>
      </c>
      <c r="E215" s="5" t="s">
        <v>18</v>
      </c>
      <c r="F215" s="5">
        <v>31</v>
      </c>
      <c r="G215" s="5">
        <v>97</v>
      </c>
      <c r="H215" s="5">
        <v>17.3</v>
      </c>
      <c r="I215" s="5">
        <v>18.5</v>
      </c>
      <c r="J215" s="5">
        <v>18.8</v>
      </c>
      <c r="K215" s="5">
        <v>20</v>
      </c>
      <c r="L215" s="5">
        <v>18.899999999999999</v>
      </c>
      <c r="M215" s="5">
        <v>9</v>
      </c>
      <c r="N215" s="5">
        <v>17</v>
      </c>
      <c r="O215" s="5" t="str">
        <f t="shared" si="6"/>
        <v>Below 20</v>
      </c>
      <c r="P215" s="5" t="str">
        <f t="shared" si="7"/>
        <v>Not all at least 20</v>
      </c>
    </row>
    <row r="216" spans="1:16" x14ac:dyDescent="0.35">
      <c r="A216" s="5" t="s">
        <v>317</v>
      </c>
      <c r="B216" s="5" t="str">
        <f>VLOOKUP(A216,schools!A216:B1964,2,FALSE)</f>
        <v>Obion County Central High School</v>
      </c>
      <c r="C216" s="5" t="str">
        <f>VLOOKUP(A216,schools!A216:F1964,5,FALSE)</f>
        <v>Troy</v>
      </c>
      <c r="D216" s="5" t="s">
        <v>318</v>
      </c>
      <c r="E216" s="5" t="s">
        <v>18</v>
      </c>
      <c r="F216" s="5">
        <v>191</v>
      </c>
      <c r="G216" s="5">
        <v>96</v>
      </c>
      <c r="H216" s="5">
        <v>21.2</v>
      </c>
      <c r="I216" s="5">
        <v>19.7</v>
      </c>
      <c r="J216" s="5">
        <v>20.8</v>
      </c>
      <c r="K216" s="5">
        <v>20.399999999999999</v>
      </c>
      <c r="L216" s="5">
        <v>20.7</v>
      </c>
      <c r="M216" s="5">
        <v>98</v>
      </c>
      <c r="N216" s="5">
        <v>71</v>
      </c>
      <c r="O216" s="5" t="str">
        <f t="shared" si="6"/>
        <v>At least 20</v>
      </c>
      <c r="P216" s="5" t="str">
        <f t="shared" si="7"/>
        <v>Not all at least 20</v>
      </c>
    </row>
    <row r="217" spans="1:16" x14ac:dyDescent="0.35">
      <c r="A217" s="5" t="s">
        <v>319</v>
      </c>
      <c r="B217" s="5" t="str">
        <f>VLOOKUP(A217,schools!A217:B1965,2,FALSE)</f>
        <v>South Fulton Middle / High School</v>
      </c>
      <c r="C217" s="5" t="str">
        <f>VLOOKUP(A217,schools!A217:F1965,5,FALSE)</f>
        <v>South Fulton</v>
      </c>
      <c r="D217" s="5" t="s">
        <v>318</v>
      </c>
      <c r="E217" s="5" t="s">
        <v>18</v>
      </c>
      <c r="F217" s="5">
        <v>60</v>
      </c>
      <c r="G217" s="5">
        <v>100</v>
      </c>
      <c r="H217" s="5">
        <v>20.6</v>
      </c>
      <c r="I217" s="5">
        <v>19.5</v>
      </c>
      <c r="J217" s="5">
        <v>21.1</v>
      </c>
      <c r="K217" s="5">
        <v>20.8</v>
      </c>
      <c r="L217" s="5">
        <v>20.7</v>
      </c>
      <c r="M217" s="5">
        <v>30</v>
      </c>
      <c r="N217" s="5">
        <v>16</v>
      </c>
      <c r="O217" s="5" t="str">
        <f t="shared" si="6"/>
        <v>At least 20</v>
      </c>
      <c r="P217" s="5" t="str">
        <f t="shared" si="7"/>
        <v>Not all at least 20</v>
      </c>
    </row>
    <row r="218" spans="1:16" x14ac:dyDescent="0.35">
      <c r="A218" s="5" t="s">
        <v>320</v>
      </c>
      <c r="B218" s="5" t="str">
        <f>VLOOKUP(A218,schools!A218:B1966,2,FALSE)</f>
        <v>Union City High School</v>
      </c>
      <c r="C218" s="5" t="str">
        <f>VLOOKUP(A218,schools!A218:F1966,5,FALSE)</f>
        <v>Union City</v>
      </c>
      <c r="D218" s="5" t="s">
        <v>321</v>
      </c>
      <c r="E218" s="5" t="s">
        <v>18</v>
      </c>
      <c r="F218" s="5">
        <v>92</v>
      </c>
      <c r="G218" s="5">
        <v>97</v>
      </c>
      <c r="H218" s="5">
        <v>23.1</v>
      </c>
      <c r="I218" s="5">
        <v>21.6</v>
      </c>
      <c r="J218" s="5">
        <v>22.3</v>
      </c>
      <c r="K218" s="5">
        <v>22.2</v>
      </c>
      <c r="L218" s="5">
        <v>22.5</v>
      </c>
      <c r="M218" s="5">
        <v>52</v>
      </c>
      <c r="N218" s="5">
        <v>22</v>
      </c>
      <c r="O218" s="5" t="str">
        <f t="shared" si="6"/>
        <v>At least 20</v>
      </c>
      <c r="P218" s="5" t="str">
        <f t="shared" si="7"/>
        <v>All at least 20</v>
      </c>
    </row>
    <row r="219" spans="1:16" x14ac:dyDescent="0.35">
      <c r="A219" s="5" t="s">
        <v>322</v>
      </c>
      <c r="B219" s="5" t="str">
        <f>VLOOKUP(A219,schools!A219:B1967,2,FALSE)</f>
        <v>Livingston Academy</v>
      </c>
      <c r="C219" s="5" t="str">
        <f>VLOOKUP(A219,schools!A219:F1967,5,FALSE)</f>
        <v>Livingston</v>
      </c>
      <c r="D219" s="5" t="s">
        <v>323</v>
      </c>
      <c r="E219" s="5" t="s">
        <v>18</v>
      </c>
      <c r="F219" s="5">
        <v>190</v>
      </c>
      <c r="G219" s="5">
        <v>99</v>
      </c>
      <c r="H219" s="5">
        <v>20.399999999999999</v>
      </c>
      <c r="I219" s="5">
        <v>21</v>
      </c>
      <c r="J219" s="5">
        <v>21.6</v>
      </c>
      <c r="K219" s="5">
        <v>20.9</v>
      </c>
      <c r="L219" s="5">
        <v>21.1</v>
      </c>
      <c r="M219" s="5">
        <v>104</v>
      </c>
      <c r="N219" s="5">
        <v>64</v>
      </c>
      <c r="O219" s="5" t="str">
        <f t="shared" si="6"/>
        <v>At least 20</v>
      </c>
      <c r="P219" s="5" t="str">
        <f t="shared" si="7"/>
        <v>All at least 20</v>
      </c>
    </row>
    <row r="220" spans="1:16" x14ac:dyDescent="0.35">
      <c r="A220" s="5" t="s">
        <v>324</v>
      </c>
      <c r="B220" s="5" t="str">
        <f>VLOOKUP(A220,schools!A220:B1968,2,FALSE)</f>
        <v>Perry County High School</v>
      </c>
      <c r="C220" s="5" t="str">
        <f>VLOOKUP(A220,schools!A220:F1968,5,FALSE)</f>
        <v>Linden</v>
      </c>
      <c r="D220" s="5" t="s">
        <v>325</v>
      </c>
      <c r="E220" s="5" t="s">
        <v>18</v>
      </c>
      <c r="F220" s="5">
        <v>74</v>
      </c>
      <c r="G220" s="5">
        <v>100</v>
      </c>
      <c r="H220" s="5">
        <v>17.2</v>
      </c>
      <c r="I220" s="5">
        <v>17.7</v>
      </c>
      <c r="J220" s="5">
        <v>18.600000000000001</v>
      </c>
      <c r="K220" s="5">
        <v>18.600000000000001</v>
      </c>
      <c r="L220" s="5">
        <v>18.100000000000001</v>
      </c>
      <c r="M220" s="5">
        <v>19</v>
      </c>
      <c r="N220" s="5">
        <v>41</v>
      </c>
      <c r="O220" s="5" t="str">
        <f t="shared" si="6"/>
        <v>Below 20</v>
      </c>
      <c r="P220" s="5" t="str">
        <f t="shared" si="7"/>
        <v>Not all at least 20</v>
      </c>
    </row>
    <row r="221" spans="1:16" x14ac:dyDescent="0.35">
      <c r="A221" s="5" t="s">
        <v>326</v>
      </c>
      <c r="B221" s="5" t="str">
        <f>VLOOKUP(A221,schools!A221:B1969,2,FALSE)</f>
        <v>Pickett Co High School</v>
      </c>
      <c r="C221" s="5" t="str">
        <f>VLOOKUP(A221,schools!A221:F1969,5,FALSE)</f>
        <v>Byrdstown</v>
      </c>
      <c r="D221" s="5" t="s">
        <v>327</v>
      </c>
      <c r="E221" s="5" t="s">
        <v>18</v>
      </c>
      <c r="F221" s="5">
        <v>60</v>
      </c>
      <c r="G221" s="5">
        <v>100</v>
      </c>
      <c r="H221" s="5">
        <v>20.3</v>
      </c>
      <c r="I221" s="5">
        <v>19.7</v>
      </c>
      <c r="J221" s="5">
        <v>21.6</v>
      </c>
      <c r="K221" s="5">
        <v>21.1</v>
      </c>
      <c r="L221" s="5">
        <v>20.8</v>
      </c>
      <c r="M221" s="5">
        <v>31</v>
      </c>
      <c r="N221" s="5">
        <v>21</v>
      </c>
      <c r="O221" s="5" t="str">
        <f t="shared" si="6"/>
        <v>At least 20</v>
      </c>
      <c r="P221" s="5" t="str">
        <f t="shared" si="7"/>
        <v>Not all at least 20</v>
      </c>
    </row>
    <row r="222" spans="1:16" x14ac:dyDescent="0.35">
      <c r="A222" s="5" t="s">
        <v>328</v>
      </c>
      <c r="B222" s="5" t="str">
        <f>VLOOKUP(A222,schools!A222:B1970,2,FALSE)</f>
        <v>Copper Basin High School</v>
      </c>
      <c r="C222" s="5" t="str">
        <f>VLOOKUP(A222,schools!A222:F1970,5,FALSE)</f>
        <v>Copperhill</v>
      </c>
      <c r="D222" s="5" t="s">
        <v>329</v>
      </c>
      <c r="E222" s="5" t="s">
        <v>18</v>
      </c>
      <c r="F222" s="5">
        <v>49</v>
      </c>
      <c r="G222" s="5">
        <v>98</v>
      </c>
      <c r="H222" s="5">
        <v>18.2</v>
      </c>
      <c r="I222" s="5">
        <v>17.5</v>
      </c>
      <c r="J222" s="5">
        <v>19.3</v>
      </c>
      <c r="K222" s="5">
        <v>19.100000000000001</v>
      </c>
      <c r="L222" s="5">
        <v>18.7</v>
      </c>
      <c r="M222" s="5">
        <v>16</v>
      </c>
      <c r="N222" s="5">
        <v>28</v>
      </c>
      <c r="O222" s="5" t="str">
        <f t="shared" si="6"/>
        <v>Below 20</v>
      </c>
      <c r="P222" s="5" t="str">
        <f t="shared" si="7"/>
        <v>Not all at least 20</v>
      </c>
    </row>
    <row r="223" spans="1:16" x14ac:dyDescent="0.35">
      <c r="A223" s="5" t="s">
        <v>330</v>
      </c>
      <c r="B223" s="5" t="str">
        <f>VLOOKUP(A223,schools!A223:B1971,2,FALSE)</f>
        <v>Polk County High School</v>
      </c>
      <c r="C223" s="5" t="str">
        <f>VLOOKUP(A223,schools!A223:F1971,5,FALSE)</f>
        <v>Benton</v>
      </c>
      <c r="D223" s="5" t="s">
        <v>329</v>
      </c>
      <c r="E223" s="5" t="s">
        <v>18</v>
      </c>
      <c r="F223" s="5">
        <v>133</v>
      </c>
      <c r="G223" s="5">
        <v>100</v>
      </c>
      <c r="H223" s="5">
        <v>19.2</v>
      </c>
      <c r="I223" s="5">
        <v>19</v>
      </c>
      <c r="J223" s="5">
        <v>20.399999999999999</v>
      </c>
      <c r="K223" s="5">
        <v>19.399999999999999</v>
      </c>
      <c r="L223" s="5">
        <v>19.7</v>
      </c>
      <c r="M223" s="5">
        <v>50</v>
      </c>
      <c r="N223" s="5">
        <v>58</v>
      </c>
      <c r="O223" s="5" t="str">
        <f t="shared" si="6"/>
        <v>Below 20</v>
      </c>
      <c r="P223" s="5" t="str">
        <f t="shared" si="7"/>
        <v>Not all at least 20</v>
      </c>
    </row>
    <row r="224" spans="1:16" x14ac:dyDescent="0.35">
      <c r="A224" s="5" t="s">
        <v>331</v>
      </c>
      <c r="B224" s="5" t="str">
        <f>VLOOKUP(A224,schools!A224:B1972,2,FALSE)</f>
        <v>Cookeville High School</v>
      </c>
      <c r="C224" s="5" t="str">
        <f>VLOOKUP(A224,schools!A224:F1972,5,FALSE)</f>
        <v>Cookeville</v>
      </c>
      <c r="D224" s="5" t="s">
        <v>332</v>
      </c>
      <c r="E224" s="5" t="s">
        <v>18</v>
      </c>
      <c r="F224" s="5">
        <v>477</v>
      </c>
      <c r="G224" s="5">
        <v>95</v>
      </c>
      <c r="H224" s="5">
        <v>21</v>
      </c>
      <c r="I224" s="5">
        <v>21.2</v>
      </c>
      <c r="J224" s="5">
        <v>22.5</v>
      </c>
      <c r="K224" s="5">
        <v>21.6</v>
      </c>
      <c r="L224" s="5">
        <v>21.8</v>
      </c>
      <c r="M224" s="5">
        <v>278</v>
      </c>
      <c r="N224" s="5">
        <v>140</v>
      </c>
      <c r="O224" s="5" t="str">
        <f t="shared" si="6"/>
        <v>At least 20</v>
      </c>
      <c r="P224" s="5" t="str">
        <f t="shared" si="7"/>
        <v>All at least 20</v>
      </c>
    </row>
    <row r="225" spans="1:16" x14ac:dyDescent="0.35">
      <c r="A225" s="5" t="s">
        <v>333</v>
      </c>
      <c r="B225" s="5" t="str">
        <f>VLOOKUP(A225,schools!A225:B1973,2,FALSE)</f>
        <v>Monterey High School</v>
      </c>
      <c r="C225" s="5" t="str">
        <f>VLOOKUP(A225,schools!A225:F1973,5,FALSE)</f>
        <v>Monterey</v>
      </c>
      <c r="D225" s="5" t="s">
        <v>332</v>
      </c>
      <c r="E225" s="5" t="s">
        <v>18</v>
      </c>
      <c r="F225" s="5">
        <v>74</v>
      </c>
      <c r="G225" s="5">
        <v>99</v>
      </c>
      <c r="H225" s="5">
        <v>17.399999999999999</v>
      </c>
      <c r="I225" s="5">
        <v>18.7</v>
      </c>
      <c r="J225" s="5">
        <v>19.399999999999999</v>
      </c>
      <c r="K225" s="5">
        <v>19.399999999999999</v>
      </c>
      <c r="L225" s="5">
        <v>18.899999999999999</v>
      </c>
      <c r="M225" s="5">
        <v>24</v>
      </c>
      <c r="N225" s="5">
        <v>33</v>
      </c>
      <c r="O225" s="5" t="str">
        <f t="shared" si="6"/>
        <v>Below 20</v>
      </c>
      <c r="P225" s="5" t="str">
        <f t="shared" si="7"/>
        <v>Not all at least 20</v>
      </c>
    </row>
    <row r="226" spans="1:16" x14ac:dyDescent="0.35">
      <c r="A226" s="5" t="s">
        <v>334</v>
      </c>
      <c r="B226" s="5" t="str">
        <f>VLOOKUP(A226,schools!A226:B1974,2,FALSE)</f>
        <v>Upperman High School</v>
      </c>
      <c r="C226" s="5" t="str">
        <f>VLOOKUP(A226,schools!A226:F1974,5,FALSE)</f>
        <v>Baxter</v>
      </c>
      <c r="D226" s="5" t="s">
        <v>332</v>
      </c>
      <c r="E226" s="5" t="s">
        <v>18</v>
      </c>
      <c r="F226" s="5">
        <v>175</v>
      </c>
      <c r="G226" s="5">
        <v>96</v>
      </c>
      <c r="H226" s="5">
        <v>18.7</v>
      </c>
      <c r="I226" s="5">
        <v>19.7</v>
      </c>
      <c r="J226" s="5">
        <v>19.7</v>
      </c>
      <c r="K226" s="5">
        <v>20</v>
      </c>
      <c r="L226" s="5">
        <v>19.600000000000001</v>
      </c>
      <c r="M226" s="5">
        <v>74</v>
      </c>
      <c r="N226" s="5">
        <v>77</v>
      </c>
      <c r="O226" s="5" t="str">
        <f t="shared" si="6"/>
        <v>Below 20</v>
      </c>
      <c r="P226" s="5" t="str">
        <f t="shared" si="7"/>
        <v>Not all at least 20</v>
      </c>
    </row>
    <row r="227" spans="1:16" x14ac:dyDescent="0.35">
      <c r="A227" s="5" t="s">
        <v>335</v>
      </c>
      <c r="B227" s="5" t="str">
        <f>VLOOKUP(A227,schools!A227:B1975,2,FALSE)</f>
        <v>Rhea County High School</v>
      </c>
      <c r="C227" s="5" t="str">
        <f>VLOOKUP(A227,schools!A227:F1975,5,FALSE)</f>
        <v>Evensville</v>
      </c>
      <c r="D227" s="5" t="s">
        <v>336</v>
      </c>
      <c r="E227" s="5" t="s">
        <v>18</v>
      </c>
      <c r="F227" s="5">
        <v>349</v>
      </c>
      <c r="G227" s="5">
        <v>99</v>
      </c>
      <c r="H227" s="5">
        <v>18.2</v>
      </c>
      <c r="I227" s="5">
        <v>18.600000000000001</v>
      </c>
      <c r="J227" s="5">
        <v>19.5</v>
      </c>
      <c r="K227" s="5">
        <v>19.2</v>
      </c>
      <c r="L227" s="5">
        <v>19.100000000000001</v>
      </c>
      <c r="M227" s="5">
        <v>112</v>
      </c>
      <c r="N227" s="5">
        <v>167</v>
      </c>
      <c r="O227" s="5" t="str">
        <f t="shared" si="6"/>
        <v>Below 20</v>
      </c>
      <c r="P227" s="5" t="str">
        <f t="shared" si="7"/>
        <v>Not all at least 20</v>
      </c>
    </row>
    <row r="228" spans="1:16" x14ac:dyDescent="0.35">
      <c r="A228" s="5" t="s">
        <v>337</v>
      </c>
      <c r="B228" s="5" t="str">
        <f>VLOOKUP(A228,schools!A228:B1976,2,FALSE)</f>
        <v>Harriman High School</v>
      </c>
      <c r="C228" s="5" t="str">
        <f>VLOOKUP(A228,schools!A228:F1976,5,FALSE)</f>
        <v>Harriman</v>
      </c>
      <c r="D228" s="5" t="s">
        <v>338</v>
      </c>
      <c r="E228" s="5" t="s">
        <v>18</v>
      </c>
      <c r="F228" s="5">
        <v>73</v>
      </c>
      <c r="G228" s="5">
        <v>99</v>
      </c>
      <c r="H228" s="5">
        <v>18.5</v>
      </c>
      <c r="I228" s="5">
        <v>19.2</v>
      </c>
      <c r="J228" s="5">
        <v>19.5</v>
      </c>
      <c r="K228" s="5">
        <v>19.2</v>
      </c>
      <c r="L228" s="5">
        <v>19.2</v>
      </c>
      <c r="M228" s="5">
        <v>26</v>
      </c>
      <c r="N228" s="5">
        <v>37</v>
      </c>
      <c r="O228" s="5" t="str">
        <f t="shared" si="6"/>
        <v>Below 20</v>
      </c>
      <c r="P228" s="5" t="str">
        <f t="shared" si="7"/>
        <v>Not all at least 20</v>
      </c>
    </row>
    <row r="229" spans="1:16" x14ac:dyDescent="0.35">
      <c r="A229" s="5" t="s">
        <v>339</v>
      </c>
      <c r="B229" s="5" t="str">
        <f>VLOOKUP(A229,schools!A229:B1977,2,FALSE)</f>
        <v>Midway High School</v>
      </c>
      <c r="C229" s="5" t="str">
        <f>VLOOKUP(A229,schools!A229:F1977,5,FALSE)</f>
        <v>Kingston</v>
      </c>
      <c r="D229" s="5" t="s">
        <v>338</v>
      </c>
      <c r="E229" s="5" t="s">
        <v>18</v>
      </c>
      <c r="F229" s="5">
        <v>54</v>
      </c>
      <c r="G229" s="5">
        <v>98</v>
      </c>
      <c r="H229" s="5">
        <v>19.100000000000001</v>
      </c>
      <c r="I229" s="5">
        <v>19.7</v>
      </c>
      <c r="J229" s="5">
        <v>20.9</v>
      </c>
      <c r="K229" s="5">
        <v>20.8</v>
      </c>
      <c r="L229" s="5">
        <v>20.3</v>
      </c>
      <c r="M229" s="5">
        <v>24</v>
      </c>
      <c r="N229" s="5">
        <v>20</v>
      </c>
      <c r="O229" s="5" t="str">
        <f t="shared" si="6"/>
        <v>At least 20</v>
      </c>
      <c r="P229" s="5" t="str">
        <f t="shared" si="7"/>
        <v>Not all at least 20</v>
      </c>
    </row>
    <row r="230" spans="1:16" x14ac:dyDescent="0.35">
      <c r="A230" s="5" t="s">
        <v>340</v>
      </c>
      <c r="B230" s="5" t="str">
        <f>VLOOKUP(A230,schools!A230:B1978,2,FALSE)</f>
        <v>Oliver Springs High School</v>
      </c>
      <c r="C230" s="5" t="str">
        <f>VLOOKUP(A230,schools!A230:F1978,5,FALSE)</f>
        <v>Oliver Springs</v>
      </c>
      <c r="D230" s="5" t="s">
        <v>338</v>
      </c>
      <c r="E230" s="5" t="s">
        <v>18</v>
      </c>
      <c r="F230" s="5">
        <v>60</v>
      </c>
      <c r="G230" s="5">
        <v>100</v>
      </c>
      <c r="H230" s="5">
        <v>19</v>
      </c>
      <c r="I230" s="5">
        <v>18.5</v>
      </c>
      <c r="J230" s="5">
        <v>19.899999999999999</v>
      </c>
      <c r="K230" s="5">
        <v>20.6</v>
      </c>
      <c r="L230" s="5">
        <v>19.7</v>
      </c>
      <c r="M230" s="5">
        <v>19</v>
      </c>
      <c r="N230" s="5">
        <v>26</v>
      </c>
      <c r="O230" s="5" t="str">
        <f t="shared" si="6"/>
        <v>Below 20</v>
      </c>
      <c r="P230" s="5" t="str">
        <f t="shared" si="7"/>
        <v>Not all at least 20</v>
      </c>
    </row>
    <row r="231" spans="1:16" x14ac:dyDescent="0.35">
      <c r="A231" s="5" t="s">
        <v>341</v>
      </c>
      <c r="B231" s="5" t="str">
        <f>VLOOKUP(A231,schools!A231:B1979,2,FALSE)</f>
        <v>Roane County High School</v>
      </c>
      <c r="C231" s="5" t="str">
        <f>VLOOKUP(A231,schools!A231:F1979,5,FALSE)</f>
        <v>Kingston</v>
      </c>
      <c r="D231" s="5" t="s">
        <v>338</v>
      </c>
      <c r="E231" s="5" t="s">
        <v>18</v>
      </c>
      <c r="F231" s="5">
        <v>186</v>
      </c>
      <c r="G231" s="5">
        <v>99</v>
      </c>
      <c r="H231" s="5">
        <v>21.5</v>
      </c>
      <c r="I231" s="5">
        <v>20.399999999999999</v>
      </c>
      <c r="J231" s="5">
        <v>22.5</v>
      </c>
      <c r="K231" s="5">
        <v>21.5</v>
      </c>
      <c r="L231" s="5">
        <v>21.7</v>
      </c>
      <c r="M231" s="5">
        <v>107</v>
      </c>
      <c r="N231" s="5">
        <v>51</v>
      </c>
      <c r="O231" s="5" t="str">
        <f t="shared" si="6"/>
        <v>At least 20</v>
      </c>
      <c r="P231" s="5" t="str">
        <f t="shared" si="7"/>
        <v>All at least 20</v>
      </c>
    </row>
    <row r="232" spans="1:16" x14ac:dyDescent="0.35">
      <c r="A232" s="5" t="s">
        <v>342</v>
      </c>
      <c r="B232" s="5" t="str">
        <f>VLOOKUP(A232,schools!A232:B1980,2,FALSE)</f>
        <v>Midtown Educational Center</v>
      </c>
      <c r="C232" s="5" t="str">
        <f>VLOOKUP(A232,schools!A232:F1980,5,FALSE)</f>
        <v>Harriman</v>
      </c>
      <c r="D232" s="5" t="s">
        <v>338</v>
      </c>
      <c r="E232" s="5" t="s">
        <v>18</v>
      </c>
      <c r="F232" s="5">
        <v>33</v>
      </c>
      <c r="G232" s="5">
        <v>97</v>
      </c>
      <c r="H232" s="5">
        <v>15.3</v>
      </c>
      <c r="I232" s="5">
        <v>17.600000000000001</v>
      </c>
      <c r="J232" s="5">
        <v>16.3</v>
      </c>
      <c r="K232" s="5">
        <v>17.3</v>
      </c>
      <c r="L232" s="5">
        <v>16.8</v>
      </c>
      <c r="M232" s="5">
        <v>5</v>
      </c>
      <c r="N232" s="5">
        <v>23</v>
      </c>
      <c r="O232" s="5" t="str">
        <f t="shared" si="6"/>
        <v>Below 20</v>
      </c>
      <c r="P232" s="5" t="str">
        <f t="shared" si="7"/>
        <v>Not all at least 20</v>
      </c>
    </row>
    <row r="233" spans="1:16" x14ac:dyDescent="0.35">
      <c r="A233" s="5" t="s">
        <v>343</v>
      </c>
      <c r="B233" s="5" t="str">
        <f>VLOOKUP(A233,schools!A233:B1981,2,FALSE)</f>
        <v>Rockwood High School</v>
      </c>
      <c r="C233" s="5" t="str">
        <f>VLOOKUP(A233,schools!A233:F1981,5,FALSE)</f>
        <v>Rockwood</v>
      </c>
      <c r="D233" s="5" t="s">
        <v>338</v>
      </c>
      <c r="E233" s="5" t="s">
        <v>18</v>
      </c>
      <c r="F233" s="5">
        <v>78</v>
      </c>
      <c r="G233" s="5">
        <v>98</v>
      </c>
      <c r="H233" s="5">
        <v>18.600000000000001</v>
      </c>
      <c r="I233" s="5">
        <v>18.399999999999999</v>
      </c>
      <c r="J233" s="5">
        <v>19.899999999999999</v>
      </c>
      <c r="K233" s="5">
        <v>20</v>
      </c>
      <c r="L233" s="5">
        <v>19.399999999999999</v>
      </c>
      <c r="M233" s="5">
        <v>28</v>
      </c>
      <c r="N233" s="5">
        <v>37</v>
      </c>
      <c r="O233" s="5" t="str">
        <f t="shared" si="6"/>
        <v>Below 20</v>
      </c>
      <c r="P233" s="5" t="str">
        <f t="shared" si="7"/>
        <v>Not all at least 20</v>
      </c>
    </row>
    <row r="234" spans="1:16" x14ac:dyDescent="0.35">
      <c r="A234" s="5" t="s">
        <v>344</v>
      </c>
      <c r="B234" s="5" t="str">
        <f>VLOOKUP(A234,schools!A234:B1982,2,FALSE)</f>
        <v>East Robertson High School</v>
      </c>
      <c r="C234" s="5" t="str">
        <f>VLOOKUP(A234,schools!A234:F1982,5,FALSE)</f>
        <v>Cross Plains</v>
      </c>
      <c r="D234" s="5" t="s">
        <v>345</v>
      </c>
      <c r="E234" s="5" t="s">
        <v>18</v>
      </c>
      <c r="F234" s="5">
        <v>81</v>
      </c>
      <c r="G234" s="5">
        <v>98</v>
      </c>
      <c r="H234" s="5">
        <v>17.899999999999999</v>
      </c>
      <c r="I234" s="5">
        <v>18.7</v>
      </c>
      <c r="J234" s="5">
        <v>18.7</v>
      </c>
      <c r="K234" s="5">
        <v>19.100000000000001</v>
      </c>
      <c r="L234" s="5">
        <v>18.8</v>
      </c>
      <c r="M234" s="5">
        <v>19</v>
      </c>
      <c r="N234" s="5">
        <v>35</v>
      </c>
      <c r="O234" s="5" t="str">
        <f t="shared" si="6"/>
        <v>Below 20</v>
      </c>
      <c r="P234" s="5" t="str">
        <f t="shared" si="7"/>
        <v>Not all at least 20</v>
      </c>
    </row>
    <row r="235" spans="1:16" x14ac:dyDescent="0.35">
      <c r="A235" s="5" t="s">
        <v>346</v>
      </c>
      <c r="B235" s="5" t="str">
        <f>VLOOKUP(A235,schools!A235:B1983,2,FALSE)</f>
        <v>Greenbrier High School</v>
      </c>
      <c r="C235" s="5" t="str">
        <f>VLOOKUP(A235,schools!A235:F1983,5,FALSE)</f>
        <v>Greenbrier</v>
      </c>
      <c r="D235" s="5" t="s">
        <v>345</v>
      </c>
      <c r="E235" s="5" t="s">
        <v>18</v>
      </c>
      <c r="F235" s="5">
        <v>163</v>
      </c>
      <c r="G235" s="5">
        <v>98</v>
      </c>
      <c r="H235" s="5">
        <v>20.7</v>
      </c>
      <c r="I235" s="5">
        <v>20.7</v>
      </c>
      <c r="J235" s="5">
        <v>21.9</v>
      </c>
      <c r="K235" s="5">
        <v>21.4</v>
      </c>
      <c r="L235" s="5">
        <v>21.3</v>
      </c>
      <c r="M235" s="5">
        <v>92</v>
      </c>
      <c r="N235" s="5">
        <v>51</v>
      </c>
      <c r="O235" s="5" t="str">
        <f t="shared" si="6"/>
        <v>At least 20</v>
      </c>
      <c r="P235" s="5" t="str">
        <f t="shared" si="7"/>
        <v>All at least 20</v>
      </c>
    </row>
    <row r="236" spans="1:16" x14ac:dyDescent="0.35">
      <c r="A236" s="5" t="s">
        <v>347</v>
      </c>
      <c r="B236" s="5" t="str">
        <f>VLOOKUP(A236,schools!A236:B1984,2,FALSE)</f>
        <v>Jo Byrns High School</v>
      </c>
      <c r="C236" s="5" t="str">
        <f>VLOOKUP(A236,schools!A236:F1984,5,FALSE)</f>
        <v>Cedar Hill</v>
      </c>
      <c r="D236" s="5" t="s">
        <v>345</v>
      </c>
      <c r="E236" s="5" t="s">
        <v>18</v>
      </c>
      <c r="F236" s="5">
        <v>85</v>
      </c>
      <c r="G236" s="5">
        <v>99</v>
      </c>
      <c r="H236" s="5">
        <v>19.100000000000001</v>
      </c>
      <c r="I236" s="5">
        <v>18.899999999999999</v>
      </c>
      <c r="J236" s="5">
        <v>20</v>
      </c>
      <c r="K236" s="5">
        <v>18.7</v>
      </c>
      <c r="L236" s="5">
        <v>19.3</v>
      </c>
      <c r="M236" s="5">
        <v>31</v>
      </c>
      <c r="N236" s="5">
        <v>41</v>
      </c>
      <c r="O236" s="5" t="str">
        <f t="shared" si="6"/>
        <v>Below 20</v>
      </c>
      <c r="P236" s="5" t="str">
        <f t="shared" si="7"/>
        <v>Not all at least 20</v>
      </c>
    </row>
    <row r="237" spans="1:16" x14ac:dyDescent="0.35">
      <c r="A237" s="5" t="s">
        <v>348</v>
      </c>
      <c r="B237" s="5" t="str">
        <f>VLOOKUP(A237,schools!A237:B1985,2,FALSE)</f>
        <v>Springfield High School</v>
      </c>
      <c r="C237" s="5" t="str">
        <f>VLOOKUP(A237,schools!A237:F1985,5,FALSE)</f>
        <v>Springfield</v>
      </c>
      <c r="D237" s="5" t="s">
        <v>345</v>
      </c>
      <c r="E237" s="5" t="s">
        <v>18</v>
      </c>
      <c r="F237" s="5">
        <v>259</v>
      </c>
      <c r="G237" s="5">
        <v>95</v>
      </c>
      <c r="H237" s="5">
        <v>18</v>
      </c>
      <c r="I237" s="5">
        <v>18.399999999999999</v>
      </c>
      <c r="J237" s="5">
        <v>19.7</v>
      </c>
      <c r="K237" s="5">
        <v>19.600000000000001</v>
      </c>
      <c r="L237" s="5">
        <v>19.100000000000001</v>
      </c>
      <c r="M237" s="5">
        <v>92</v>
      </c>
      <c r="N237" s="5">
        <v>128</v>
      </c>
      <c r="O237" s="5" t="str">
        <f t="shared" si="6"/>
        <v>Below 20</v>
      </c>
      <c r="P237" s="5" t="str">
        <f t="shared" si="7"/>
        <v>Not all at least 20</v>
      </c>
    </row>
    <row r="238" spans="1:16" x14ac:dyDescent="0.35">
      <c r="A238" s="5" t="s">
        <v>349</v>
      </c>
      <c r="B238" s="5" t="str">
        <f>VLOOKUP(A238,schools!A238:B1986,2,FALSE)</f>
        <v>White House Heritage High School</v>
      </c>
      <c r="C238" s="5" t="str">
        <f>VLOOKUP(A238,schools!A238:F1986,5,FALSE)</f>
        <v>White House</v>
      </c>
      <c r="D238" s="5" t="s">
        <v>345</v>
      </c>
      <c r="E238" s="5" t="s">
        <v>18</v>
      </c>
      <c r="F238" s="5">
        <v>154</v>
      </c>
      <c r="G238" s="5">
        <v>96</v>
      </c>
      <c r="H238" s="5">
        <v>20.3</v>
      </c>
      <c r="I238" s="5">
        <v>20.7</v>
      </c>
      <c r="J238" s="5">
        <v>21</v>
      </c>
      <c r="K238" s="5">
        <v>21.2</v>
      </c>
      <c r="L238" s="5">
        <v>21</v>
      </c>
      <c r="M238" s="5">
        <v>74</v>
      </c>
      <c r="N238" s="5">
        <v>49</v>
      </c>
      <c r="O238" s="5" t="str">
        <f t="shared" si="6"/>
        <v>At least 20</v>
      </c>
      <c r="P238" s="5" t="str">
        <f t="shared" si="7"/>
        <v>All at least 20</v>
      </c>
    </row>
    <row r="239" spans="1:16" x14ac:dyDescent="0.35">
      <c r="A239" s="5" t="s">
        <v>350</v>
      </c>
      <c r="B239" s="5" t="str">
        <f>VLOOKUP(A239,schools!A239:B1987,2,FALSE)</f>
        <v>Robertson Co. Virtual School</v>
      </c>
      <c r="C239" s="5" t="str">
        <f>VLOOKUP(A239,schools!A239:F1987,5,FALSE)</f>
        <v>Springfield</v>
      </c>
      <c r="D239" s="5" t="s">
        <v>345</v>
      </c>
      <c r="E239" s="5" t="s">
        <v>18</v>
      </c>
      <c r="F239" s="5">
        <v>4</v>
      </c>
      <c r="G239" s="5" t="s">
        <v>44</v>
      </c>
      <c r="H239" s="5" t="s">
        <v>44</v>
      </c>
      <c r="I239" s="5" t="s">
        <v>44</v>
      </c>
      <c r="J239" s="5" t="s">
        <v>44</v>
      </c>
      <c r="K239" s="5" t="s">
        <v>44</v>
      </c>
      <c r="L239" s="5" t="s">
        <v>44</v>
      </c>
      <c r="M239" s="5" t="s">
        <v>44</v>
      </c>
      <c r="N239" s="5" t="s">
        <v>44</v>
      </c>
      <c r="O239" s="5" t="str">
        <f t="shared" si="6"/>
        <v>Score Not Available</v>
      </c>
      <c r="P239" s="5" t="str">
        <f t="shared" si="7"/>
        <v>Not all at least 20</v>
      </c>
    </row>
    <row r="240" spans="1:16" x14ac:dyDescent="0.35">
      <c r="A240" s="5" t="s">
        <v>351</v>
      </c>
      <c r="B240" s="5" t="str">
        <f>VLOOKUP(A240,schools!A240:B1988,2,FALSE)</f>
        <v>Blackman High School</v>
      </c>
      <c r="C240" s="5" t="str">
        <f>VLOOKUP(A240,schools!A240:F1988,5,FALSE)</f>
        <v>Murfreesboro</v>
      </c>
      <c r="D240" s="5" t="s">
        <v>352</v>
      </c>
      <c r="E240" s="5" t="s">
        <v>18</v>
      </c>
      <c r="F240" s="5">
        <v>468</v>
      </c>
      <c r="G240" s="5">
        <v>98</v>
      </c>
      <c r="H240" s="5">
        <v>21.6</v>
      </c>
      <c r="I240" s="5">
        <v>20.3</v>
      </c>
      <c r="J240" s="5">
        <v>21.9</v>
      </c>
      <c r="K240" s="5">
        <v>21.5</v>
      </c>
      <c r="L240" s="5">
        <v>21.5</v>
      </c>
      <c r="M240" s="5">
        <v>250</v>
      </c>
      <c r="N240" s="5">
        <v>144</v>
      </c>
      <c r="O240" s="5" t="str">
        <f t="shared" si="6"/>
        <v>At least 20</v>
      </c>
      <c r="P240" s="5" t="str">
        <f t="shared" si="7"/>
        <v>All at least 20</v>
      </c>
    </row>
    <row r="241" spans="1:16" x14ac:dyDescent="0.35">
      <c r="A241" s="5" t="s">
        <v>353</v>
      </c>
      <c r="B241" s="5" t="str">
        <f>VLOOKUP(A241,schools!A241:B1989,2,FALSE)</f>
        <v>Central Magnet School</v>
      </c>
      <c r="C241" s="5" t="str">
        <f>VLOOKUP(A241,schools!A241:F1989,5,FALSE)</f>
        <v>Murfreesboro</v>
      </c>
      <c r="D241" s="5" t="s">
        <v>352</v>
      </c>
      <c r="E241" s="5" t="s">
        <v>18</v>
      </c>
      <c r="F241" s="5">
        <v>194</v>
      </c>
      <c r="G241" s="5">
        <v>99</v>
      </c>
      <c r="H241" s="5">
        <v>32.200000000000003</v>
      </c>
      <c r="I241" s="5">
        <v>28.4</v>
      </c>
      <c r="J241" s="5">
        <v>31.4</v>
      </c>
      <c r="K241" s="5">
        <v>29.7</v>
      </c>
      <c r="L241" s="5">
        <v>30.7</v>
      </c>
      <c r="M241" s="5" t="s">
        <v>41</v>
      </c>
      <c r="N241" s="5" t="s">
        <v>41</v>
      </c>
      <c r="O241" s="5" t="str">
        <f t="shared" si="6"/>
        <v>At least 20</v>
      </c>
      <c r="P241" s="5" t="str">
        <f t="shared" si="7"/>
        <v>All at least 20</v>
      </c>
    </row>
    <row r="242" spans="1:16" x14ac:dyDescent="0.35">
      <c r="A242" s="5" t="s">
        <v>354</v>
      </c>
      <c r="B242" s="5" t="str">
        <f>VLOOKUP(A242,schools!A242:B1990,2,FALSE)</f>
        <v>Eagleville School</v>
      </c>
      <c r="C242" s="5" t="str">
        <f>VLOOKUP(A242,schools!A242:F1990,5,FALSE)</f>
        <v>Eagleville</v>
      </c>
      <c r="D242" s="5" t="s">
        <v>352</v>
      </c>
      <c r="E242" s="5" t="s">
        <v>18</v>
      </c>
      <c r="F242" s="5">
        <v>101</v>
      </c>
      <c r="G242" s="5">
        <v>96</v>
      </c>
      <c r="H242" s="5">
        <v>21.4</v>
      </c>
      <c r="I242" s="5">
        <v>20.399999999999999</v>
      </c>
      <c r="J242" s="5">
        <v>21.9</v>
      </c>
      <c r="K242" s="5">
        <v>21.8</v>
      </c>
      <c r="L242" s="5">
        <v>21.6</v>
      </c>
      <c r="M242" s="5">
        <v>54</v>
      </c>
      <c r="N242" s="5">
        <v>32</v>
      </c>
      <c r="O242" s="5" t="str">
        <f t="shared" si="6"/>
        <v>At least 20</v>
      </c>
      <c r="P242" s="5" t="str">
        <f t="shared" si="7"/>
        <v>All at least 20</v>
      </c>
    </row>
    <row r="243" spans="1:16" x14ac:dyDescent="0.35">
      <c r="A243" s="5" t="s">
        <v>355</v>
      </c>
      <c r="B243" s="5" t="str">
        <f>VLOOKUP(A243,schools!A243:B1991,2,FALSE)</f>
        <v>Holloway High School</v>
      </c>
      <c r="C243" s="5" t="str">
        <f>VLOOKUP(A243,schools!A243:F1991,5,FALSE)</f>
        <v>Murfreesboro</v>
      </c>
      <c r="D243" s="5" t="s">
        <v>352</v>
      </c>
      <c r="E243" s="5" t="s">
        <v>18</v>
      </c>
      <c r="F243" s="5">
        <v>62</v>
      </c>
      <c r="G243" s="5">
        <v>86</v>
      </c>
      <c r="H243" s="5">
        <v>15.8</v>
      </c>
      <c r="I243" s="5">
        <v>17.2</v>
      </c>
      <c r="J243" s="5">
        <v>17.399999999999999</v>
      </c>
      <c r="K243" s="5">
        <v>17.2</v>
      </c>
      <c r="L243" s="5">
        <v>17.100000000000001</v>
      </c>
      <c r="M243" s="5">
        <v>12</v>
      </c>
      <c r="N243" s="5">
        <v>43</v>
      </c>
      <c r="O243" s="5" t="str">
        <f t="shared" si="6"/>
        <v>Below 20</v>
      </c>
      <c r="P243" s="5" t="str">
        <f t="shared" si="7"/>
        <v>Not all at least 20</v>
      </c>
    </row>
    <row r="244" spans="1:16" x14ac:dyDescent="0.35">
      <c r="A244" s="5" t="s">
        <v>356</v>
      </c>
      <c r="B244" s="5" t="str">
        <f>VLOOKUP(A244,schools!A244:B1992,2,FALSE)</f>
        <v>Lavergne High School</v>
      </c>
      <c r="C244" s="5" t="str">
        <f>VLOOKUP(A244,schools!A244:F1992,5,FALSE)</f>
        <v>Lavergne</v>
      </c>
      <c r="D244" s="5" t="s">
        <v>352</v>
      </c>
      <c r="E244" s="5" t="s">
        <v>18</v>
      </c>
      <c r="F244" s="5">
        <v>396</v>
      </c>
      <c r="G244" s="5">
        <v>97</v>
      </c>
      <c r="H244" s="5">
        <v>17.8</v>
      </c>
      <c r="I244" s="5">
        <v>17.8</v>
      </c>
      <c r="J244" s="5">
        <v>18.399999999999999</v>
      </c>
      <c r="K244" s="5">
        <v>18.7</v>
      </c>
      <c r="L244" s="5">
        <v>18.3</v>
      </c>
      <c r="M244" s="5">
        <v>112</v>
      </c>
      <c r="N244" s="5">
        <v>219</v>
      </c>
      <c r="O244" s="5" t="str">
        <f t="shared" si="6"/>
        <v>Below 20</v>
      </c>
      <c r="P244" s="5" t="str">
        <f t="shared" si="7"/>
        <v>Not all at least 20</v>
      </c>
    </row>
    <row r="245" spans="1:16" x14ac:dyDescent="0.35">
      <c r="A245" s="5" t="s">
        <v>357</v>
      </c>
      <c r="B245" s="5" t="str">
        <f>VLOOKUP(A245,schools!A245:B1993,2,FALSE)</f>
        <v>Oakland High School</v>
      </c>
      <c r="C245" s="5" t="str">
        <f>VLOOKUP(A245,schools!A245:F1993,5,FALSE)</f>
        <v>Murfreesboro</v>
      </c>
      <c r="D245" s="5" t="s">
        <v>352</v>
      </c>
      <c r="E245" s="5" t="s">
        <v>18</v>
      </c>
      <c r="F245" s="5">
        <v>470</v>
      </c>
      <c r="G245" s="5">
        <v>95</v>
      </c>
      <c r="H245" s="5">
        <v>20.2</v>
      </c>
      <c r="I245" s="5">
        <v>19.7</v>
      </c>
      <c r="J245" s="5">
        <v>20.9</v>
      </c>
      <c r="K245" s="5">
        <v>20.9</v>
      </c>
      <c r="L245" s="5">
        <v>20.6</v>
      </c>
      <c r="M245" s="5">
        <v>229</v>
      </c>
      <c r="N245" s="5">
        <v>168</v>
      </c>
      <c r="O245" s="5" t="str">
        <f t="shared" si="6"/>
        <v>At least 20</v>
      </c>
      <c r="P245" s="5" t="str">
        <f t="shared" si="7"/>
        <v>Not all at least 20</v>
      </c>
    </row>
    <row r="246" spans="1:16" x14ac:dyDescent="0.35">
      <c r="A246" s="5" t="s">
        <v>358</v>
      </c>
      <c r="B246" s="5" t="str">
        <f>VLOOKUP(A246,schools!A246:B1994,2,FALSE)</f>
        <v>Riverdale High School</v>
      </c>
      <c r="C246" s="5" t="str">
        <f>VLOOKUP(A246,schools!A246:F1994,5,FALSE)</f>
        <v>Murfreesboro</v>
      </c>
      <c r="D246" s="5" t="s">
        <v>352</v>
      </c>
      <c r="E246" s="5" t="s">
        <v>18</v>
      </c>
      <c r="F246" s="5">
        <v>450</v>
      </c>
      <c r="G246" s="5">
        <v>95</v>
      </c>
      <c r="H246" s="5">
        <v>20.399999999999999</v>
      </c>
      <c r="I246" s="5">
        <v>20</v>
      </c>
      <c r="J246" s="5">
        <v>21.6</v>
      </c>
      <c r="K246" s="5">
        <v>21.1</v>
      </c>
      <c r="L246" s="5">
        <v>21</v>
      </c>
      <c r="M246" s="5">
        <v>227</v>
      </c>
      <c r="N246" s="5">
        <v>137</v>
      </c>
      <c r="O246" s="5" t="str">
        <f t="shared" si="6"/>
        <v>At least 20</v>
      </c>
      <c r="P246" s="5" t="str">
        <f t="shared" si="7"/>
        <v>Not all at least 20</v>
      </c>
    </row>
    <row r="247" spans="1:16" x14ac:dyDescent="0.35">
      <c r="A247" s="5" t="s">
        <v>359</v>
      </c>
      <c r="B247" s="5" t="str">
        <f>VLOOKUP(A247,schools!A247:B1995,2,FALSE)</f>
        <v>Smyrna High School</v>
      </c>
      <c r="C247" s="5" t="str">
        <f>VLOOKUP(A247,schools!A247:F1995,5,FALSE)</f>
        <v>Smyrna</v>
      </c>
      <c r="D247" s="5" t="s">
        <v>352</v>
      </c>
      <c r="E247" s="5" t="s">
        <v>18</v>
      </c>
      <c r="F247" s="5">
        <v>393</v>
      </c>
      <c r="G247" s="5">
        <v>93</v>
      </c>
      <c r="H247" s="5">
        <v>18.899999999999999</v>
      </c>
      <c r="I247" s="5">
        <v>18.899999999999999</v>
      </c>
      <c r="J247" s="5">
        <v>19.5</v>
      </c>
      <c r="K247" s="5">
        <v>19.5</v>
      </c>
      <c r="L247" s="5">
        <v>19.399999999999999</v>
      </c>
      <c r="M247" s="5">
        <v>133</v>
      </c>
      <c r="N247" s="5">
        <v>187</v>
      </c>
      <c r="O247" s="5" t="str">
        <f t="shared" si="6"/>
        <v>Below 20</v>
      </c>
      <c r="P247" s="5" t="str">
        <f t="shared" si="7"/>
        <v>Not all at least 20</v>
      </c>
    </row>
    <row r="248" spans="1:16" x14ac:dyDescent="0.35">
      <c r="A248" s="5" t="s">
        <v>360</v>
      </c>
      <c r="B248" s="5" t="str">
        <f>VLOOKUP(A248,schools!A248:B1996,2,FALSE)</f>
        <v>Siegel High School</v>
      </c>
      <c r="C248" s="5" t="str">
        <f>VLOOKUP(A248,schools!A248:F1996,5,FALSE)</f>
        <v>Murfreesboro</v>
      </c>
      <c r="D248" s="5" t="s">
        <v>352</v>
      </c>
      <c r="E248" s="5" t="s">
        <v>18</v>
      </c>
      <c r="F248" s="5">
        <v>428</v>
      </c>
      <c r="G248" s="5">
        <v>97</v>
      </c>
      <c r="H248" s="5">
        <v>21.2</v>
      </c>
      <c r="I248" s="5">
        <v>19.899999999999999</v>
      </c>
      <c r="J248" s="5">
        <v>22</v>
      </c>
      <c r="K248" s="5">
        <v>21.3</v>
      </c>
      <c r="L248" s="5">
        <v>21.3</v>
      </c>
      <c r="M248" s="5">
        <v>230</v>
      </c>
      <c r="N248" s="5">
        <v>133</v>
      </c>
      <c r="O248" s="5" t="str">
        <f t="shared" si="6"/>
        <v>At least 20</v>
      </c>
      <c r="P248" s="5" t="str">
        <f t="shared" si="7"/>
        <v>Not all at least 20</v>
      </c>
    </row>
    <row r="249" spans="1:16" x14ac:dyDescent="0.35">
      <c r="A249" s="5" t="s">
        <v>361</v>
      </c>
      <c r="B249" s="5" t="str">
        <f>VLOOKUP(A249,schools!A249:B1997,2,FALSE)</f>
        <v>Stewarts Creek High School</v>
      </c>
      <c r="C249" s="5" t="str">
        <f>VLOOKUP(A249,schools!A249:F1997,5,FALSE)</f>
        <v>Smyrna</v>
      </c>
      <c r="D249" s="5" t="s">
        <v>352</v>
      </c>
      <c r="E249" s="5" t="s">
        <v>18</v>
      </c>
      <c r="F249" s="5">
        <v>468</v>
      </c>
      <c r="G249" s="5">
        <v>99</v>
      </c>
      <c r="H249" s="5">
        <v>20.6</v>
      </c>
      <c r="I249" s="5">
        <v>19.7</v>
      </c>
      <c r="J249" s="5">
        <v>20.7</v>
      </c>
      <c r="K249" s="5">
        <v>20.6</v>
      </c>
      <c r="L249" s="5">
        <v>20.6</v>
      </c>
      <c r="M249" s="5">
        <v>225</v>
      </c>
      <c r="N249" s="5">
        <v>173</v>
      </c>
      <c r="O249" s="5" t="str">
        <f t="shared" si="6"/>
        <v>At least 20</v>
      </c>
      <c r="P249" s="5" t="str">
        <f t="shared" si="7"/>
        <v>Not all at least 20</v>
      </c>
    </row>
    <row r="250" spans="1:16" x14ac:dyDescent="0.35">
      <c r="A250" s="5" t="s">
        <v>362</v>
      </c>
      <c r="B250" s="5" t="str">
        <f>VLOOKUP(A250,schools!A250:B1998,2,FALSE)</f>
        <v>Scott High School</v>
      </c>
      <c r="C250" s="5" t="str">
        <f>VLOOKUP(A250,schools!A250:F1998,5,FALSE)</f>
        <v>Huntsville</v>
      </c>
      <c r="D250" s="5" t="s">
        <v>363</v>
      </c>
      <c r="E250" s="5" t="s">
        <v>18</v>
      </c>
      <c r="F250" s="5">
        <v>177</v>
      </c>
      <c r="G250" s="5">
        <v>98</v>
      </c>
      <c r="H250" s="5">
        <v>17.2</v>
      </c>
      <c r="I250" s="5">
        <v>17.899999999999999</v>
      </c>
      <c r="J250" s="5">
        <v>18.399999999999999</v>
      </c>
      <c r="K250" s="5">
        <v>18.5</v>
      </c>
      <c r="L250" s="5">
        <v>18.100000000000001</v>
      </c>
      <c r="M250" s="5">
        <v>49</v>
      </c>
      <c r="N250" s="5">
        <v>101</v>
      </c>
      <c r="O250" s="5" t="str">
        <f t="shared" si="6"/>
        <v>Below 20</v>
      </c>
      <c r="P250" s="5" t="str">
        <f t="shared" si="7"/>
        <v>Not all at least 20</v>
      </c>
    </row>
    <row r="251" spans="1:16" x14ac:dyDescent="0.35">
      <c r="A251" s="5" t="s">
        <v>364</v>
      </c>
      <c r="B251" s="5" t="str">
        <f>VLOOKUP(A251,schools!A251:B1999,2,FALSE)</f>
        <v>Oneida High School</v>
      </c>
      <c r="C251" s="5" t="str">
        <f>VLOOKUP(A251,schools!A251:F1999,5,FALSE)</f>
        <v>Oneida</v>
      </c>
      <c r="D251" s="5" t="s">
        <v>365</v>
      </c>
      <c r="E251" s="5" t="s">
        <v>18</v>
      </c>
      <c r="F251" s="5">
        <v>96</v>
      </c>
      <c r="G251" s="5">
        <v>100</v>
      </c>
      <c r="H251" s="5">
        <v>19.899999999999999</v>
      </c>
      <c r="I251" s="5">
        <v>20.100000000000001</v>
      </c>
      <c r="J251" s="5">
        <v>21.8</v>
      </c>
      <c r="K251" s="5">
        <v>20.7</v>
      </c>
      <c r="L251" s="5">
        <v>20.8</v>
      </c>
      <c r="M251" s="5">
        <v>52</v>
      </c>
      <c r="N251" s="5">
        <v>31</v>
      </c>
      <c r="O251" s="5" t="str">
        <f t="shared" si="6"/>
        <v>At least 20</v>
      </c>
      <c r="P251" s="5" t="str">
        <f t="shared" si="7"/>
        <v>Not all at least 20</v>
      </c>
    </row>
    <row r="252" spans="1:16" x14ac:dyDescent="0.35">
      <c r="A252" s="5" t="s">
        <v>366</v>
      </c>
      <c r="B252" s="5" t="str">
        <f>VLOOKUP(A252,schools!A252:B2000,2,FALSE)</f>
        <v>Sequatchie Co High School</v>
      </c>
      <c r="C252" s="5" t="str">
        <f>VLOOKUP(A252,schools!A252:F2000,5,FALSE)</f>
        <v>Dunlap</v>
      </c>
      <c r="D252" s="5" t="s">
        <v>367</v>
      </c>
      <c r="E252" s="5" t="s">
        <v>18</v>
      </c>
      <c r="F252" s="5">
        <v>153</v>
      </c>
      <c r="G252" s="5">
        <v>98</v>
      </c>
      <c r="H252" s="5">
        <v>19</v>
      </c>
      <c r="I252" s="5">
        <v>19</v>
      </c>
      <c r="J252" s="5">
        <v>20.399999999999999</v>
      </c>
      <c r="K252" s="5">
        <v>19.899999999999999</v>
      </c>
      <c r="L252" s="5">
        <v>19.7</v>
      </c>
      <c r="M252" s="5">
        <v>61</v>
      </c>
      <c r="N252" s="5">
        <v>74</v>
      </c>
      <c r="O252" s="5" t="str">
        <f t="shared" si="6"/>
        <v>Below 20</v>
      </c>
      <c r="P252" s="5" t="str">
        <f t="shared" si="7"/>
        <v>Not all at least 20</v>
      </c>
    </row>
    <row r="253" spans="1:16" x14ac:dyDescent="0.35">
      <c r="A253" s="5" t="s">
        <v>368</v>
      </c>
      <c r="B253" s="5" t="str">
        <f>VLOOKUP(A253,schools!A253:B2001,2,FALSE)</f>
        <v>Gatlinburg Pittman High</v>
      </c>
      <c r="C253" s="5" t="str">
        <f>VLOOKUP(A253,schools!A253:F2001,5,FALSE)</f>
        <v>Gatlinburg</v>
      </c>
      <c r="D253" s="5" t="s">
        <v>369</v>
      </c>
      <c r="E253" s="5" t="s">
        <v>18</v>
      </c>
      <c r="F253" s="5">
        <v>118</v>
      </c>
      <c r="G253" s="5">
        <v>98</v>
      </c>
      <c r="H253" s="5">
        <v>24</v>
      </c>
      <c r="I253" s="5">
        <v>22.1</v>
      </c>
      <c r="J253" s="5">
        <v>24.4</v>
      </c>
      <c r="K253" s="5">
        <v>23</v>
      </c>
      <c r="L253" s="5">
        <v>23.4</v>
      </c>
      <c r="M253" s="5">
        <v>76</v>
      </c>
      <c r="N253" s="5">
        <v>33</v>
      </c>
      <c r="O253" s="5" t="str">
        <f t="shared" si="6"/>
        <v>At least 20</v>
      </c>
      <c r="P253" s="5" t="str">
        <f t="shared" si="7"/>
        <v>All at least 20</v>
      </c>
    </row>
    <row r="254" spans="1:16" x14ac:dyDescent="0.35">
      <c r="A254" s="5" t="s">
        <v>370</v>
      </c>
      <c r="B254" s="5" t="str">
        <f>VLOOKUP(A254,schools!A254:B2002,2,FALSE)</f>
        <v>Northview Senior Academy</v>
      </c>
      <c r="C254" s="5" t="str">
        <f>VLOOKUP(A254,schools!A254:F2002,5,FALSE)</f>
        <v>Kodak</v>
      </c>
      <c r="D254" s="5" t="s">
        <v>369</v>
      </c>
      <c r="E254" s="5" t="s">
        <v>18</v>
      </c>
      <c r="F254" s="5">
        <v>189</v>
      </c>
      <c r="G254" s="5">
        <v>99</v>
      </c>
      <c r="H254" s="5">
        <v>18</v>
      </c>
      <c r="I254" s="5">
        <v>18.3</v>
      </c>
      <c r="J254" s="5">
        <v>19.3</v>
      </c>
      <c r="K254" s="5">
        <v>19.399999999999999</v>
      </c>
      <c r="L254" s="5">
        <v>18.899999999999999</v>
      </c>
      <c r="M254" s="5">
        <v>57</v>
      </c>
      <c r="N254" s="5">
        <v>93</v>
      </c>
      <c r="O254" s="5" t="str">
        <f t="shared" si="6"/>
        <v>Below 20</v>
      </c>
      <c r="P254" s="5" t="str">
        <f t="shared" si="7"/>
        <v>Not all at least 20</v>
      </c>
    </row>
    <row r="255" spans="1:16" x14ac:dyDescent="0.35">
      <c r="A255" s="5" t="s">
        <v>371</v>
      </c>
      <c r="B255" s="5" t="str">
        <f>VLOOKUP(A255,schools!A255:B2003,2,FALSE)</f>
        <v>Pigeon Forge High School</v>
      </c>
      <c r="C255" s="5" t="str">
        <f>VLOOKUP(A255,schools!A255:F2003,5,FALSE)</f>
        <v>Pigeon Forge</v>
      </c>
      <c r="D255" s="5" t="s">
        <v>369</v>
      </c>
      <c r="E255" s="5" t="s">
        <v>18</v>
      </c>
      <c r="F255" s="5">
        <v>152</v>
      </c>
      <c r="G255" s="5">
        <v>98</v>
      </c>
      <c r="H255" s="5">
        <v>19.2</v>
      </c>
      <c r="I255" s="5">
        <v>18.899999999999999</v>
      </c>
      <c r="J255" s="5">
        <v>20.3</v>
      </c>
      <c r="K255" s="5">
        <v>20.100000000000001</v>
      </c>
      <c r="L255" s="5">
        <v>19.8</v>
      </c>
      <c r="M255" s="5">
        <v>58</v>
      </c>
      <c r="N255" s="5">
        <v>62</v>
      </c>
      <c r="O255" s="5" t="str">
        <f t="shared" si="6"/>
        <v>Below 20</v>
      </c>
      <c r="P255" s="5" t="str">
        <f t="shared" si="7"/>
        <v>Not all at least 20</v>
      </c>
    </row>
    <row r="256" spans="1:16" x14ac:dyDescent="0.35">
      <c r="A256" s="5" t="s">
        <v>372</v>
      </c>
      <c r="B256" s="5" t="str">
        <f>VLOOKUP(A256,schools!A256:B2004,2,FALSE)</f>
        <v>Gary Hardin Academy</v>
      </c>
      <c r="C256" s="5" t="str">
        <f>VLOOKUP(A256,schools!A256:F2004,5,FALSE)</f>
        <v>Sevierville</v>
      </c>
      <c r="D256" s="5" t="s">
        <v>369</v>
      </c>
      <c r="E256" s="5" t="s">
        <v>18</v>
      </c>
      <c r="F256" s="5">
        <v>50</v>
      </c>
      <c r="G256" s="5">
        <v>81</v>
      </c>
      <c r="H256" s="5">
        <v>14.9</v>
      </c>
      <c r="I256" s="5">
        <v>16.2</v>
      </c>
      <c r="J256" s="5">
        <v>16.5</v>
      </c>
      <c r="K256" s="5">
        <v>15.8</v>
      </c>
      <c r="L256" s="5">
        <v>16</v>
      </c>
      <c r="M256" s="5">
        <v>6</v>
      </c>
      <c r="N256" s="5">
        <v>41</v>
      </c>
      <c r="O256" s="5" t="str">
        <f t="shared" si="6"/>
        <v>Below 20</v>
      </c>
      <c r="P256" s="5" t="str">
        <f t="shared" si="7"/>
        <v>Not all at least 20</v>
      </c>
    </row>
    <row r="257" spans="1:16" x14ac:dyDescent="0.35">
      <c r="A257" s="5" t="s">
        <v>373</v>
      </c>
      <c r="B257" s="5" t="str">
        <f>VLOOKUP(A257,schools!A257:B2005,2,FALSE)</f>
        <v>Sevier County High School</v>
      </c>
      <c r="C257" s="5" t="str">
        <f>VLOOKUP(A257,schools!A257:F2005,5,FALSE)</f>
        <v>Sevierville</v>
      </c>
      <c r="D257" s="5" t="s">
        <v>369</v>
      </c>
      <c r="E257" s="5" t="s">
        <v>18</v>
      </c>
      <c r="F257" s="5">
        <v>216</v>
      </c>
      <c r="G257" s="5">
        <v>100</v>
      </c>
      <c r="H257" s="5">
        <v>19.600000000000001</v>
      </c>
      <c r="I257" s="5">
        <v>19.5</v>
      </c>
      <c r="J257" s="5">
        <v>20.6</v>
      </c>
      <c r="K257" s="5">
        <v>20.100000000000001</v>
      </c>
      <c r="L257" s="5">
        <v>20.100000000000001</v>
      </c>
      <c r="M257" s="5">
        <v>98</v>
      </c>
      <c r="N257" s="5">
        <v>89</v>
      </c>
      <c r="O257" s="5" t="str">
        <f t="shared" si="6"/>
        <v>At least 20</v>
      </c>
      <c r="P257" s="5" t="str">
        <f t="shared" si="7"/>
        <v>Not all at least 20</v>
      </c>
    </row>
    <row r="258" spans="1:16" x14ac:dyDescent="0.35">
      <c r="A258" s="5" t="s">
        <v>374</v>
      </c>
      <c r="B258" s="5" t="str">
        <f>VLOOKUP(A258,schools!A258:B2006,2,FALSE)</f>
        <v>Seymour High School</v>
      </c>
      <c r="C258" s="5" t="str">
        <f>VLOOKUP(A258,schools!A258:F2006,5,FALSE)</f>
        <v>Seymour</v>
      </c>
      <c r="D258" s="5" t="s">
        <v>369</v>
      </c>
      <c r="E258" s="5" t="s">
        <v>18</v>
      </c>
      <c r="F258" s="5">
        <v>215</v>
      </c>
      <c r="G258" s="5">
        <v>99</v>
      </c>
      <c r="H258" s="5">
        <v>20.9</v>
      </c>
      <c r="I258" s="5">
        <v>20.8</v>
      </c>
      <c r="J258" s="5">
        <v>22.4</v>
      </c>
      <c r="K258" s="5">
        <v>21.7</v>
      </c>
      <c r="L258" s="5">
        <v>21.6</v>
      </c>
      <c r="M258" s="5">
        <v>124</v>
      </c>
      <c r="N258" s="5">
        <v>61</v>
      </c>
      <c r="O258" s="5" t="str">
        <f t="shared" si="6"/>
        <v>At least 20</v>
      </c>
      <c r="P258" s="5" t="str">
        <f t="shared" si="7"/>
        <v>All at least 20</v>
      </c>
    </row>
    <row r="259" spans="1:16" x14ac:dyDescent="0.35">
      <c r="A259" s="5" t="s">
        <v>375</v>
      </c>
      <c r="B259" s="5" t="str">
        <f>VLOOKUP(A259,schools!A259:B2007,2,FALSE)</f>
        <v>Bolton High</v>
      </c>
      <c r="C259" s="5" t="str">
        <f>VLOOKUP(A259,schools!A259:F2007,5,FALSE)</f>
        <v>Arlington</v>
      </c>
      <c r="D259" s="5" t="s">
        <v>376</v>
      </c>
      <c r="E259" s="5" t="s">
        <v>18</v>
      </c>
      <c r="F259" s="5">
        <v>276</v>
      </c>
      <c r="G259" s="5">
        <v>98</v>
      </c>
      <c r="H259" s="5">
        <v>18.100000000000001</v>
      </c>
      <c r="I259" s="5">
        <v>17.5</v>
      </c>
      <c r="J259" s="5">
        <v>19.3</v>
      </c>
      <c r="K259" s="5">
        <v>18.399999999999999</v>
      </c>
      <c r="L259" s="5">
        <v>18.5</v>
      </c>
      <c r="M259" s="5">
        <v>76</v>
      </c>
      <c r="N259" s="5">
        <v>162</v>
      </c>
      <c r="O259" s="5" t="str">
        <f t="shared" ref="O259:O322" si="8">IFERROR(VLOOKUP(L259,$Q$2:$S$4,3,TRUE), "Score Not Available")</f>
        <v>Below 20</v>
      </c>
      <c r="P259" s="5" t="str">
        <f t="shared" ref="P259:P322" si="9">IFERROR(IF(MIN(H259,I259,J259,K259)&gt;20,"All at least 20", "Not all at least 20"),"Scores Not Available")</f>
        <v>Not all at least 20</v>
      </c>
    </row>
    <row r="260" spans="1:16" x14ac:dyDescent="0.35">
      <c r="A260" s="5" t="s">
        <v>377</v>
      </c>
      <c r="B260" s="5" t="str">
        <f>VLOOKUP(A260,schools!A260:B2008,2,FALSE)</f>
        <v>Germantown High</v>
      </c>
      <c r="C260" s="5" t="str">
        <f>VLOOKUP(A260,schools!A260:F2008,5,FALSE)</f>
        <v>Germantown</v>
      </c>
      <c r="D260" s="5" t="s">
        <v>376</v>
      </c>
      <c r="E260" s="5" t="s">
        <v>18</v>
      </c>
      <c r="F260" s="5">
        <v>490</v>
      </c>
      <c r="G260" s="5">
        <v>99</v>
      </c>
      <c r="H260" s="5">
        <v>20</v>
      </c>
      <c r="I260" s="5">
        <v>19.899999999999999</v>
      </c>
      <c r="J260" s="5">
        <v>21.1</v>
      </c>
      <c r="K260" s="5">
        <v>20.3</v>
      </c>
      <c r="L260" s="5">
        <v>20.5</v>
      </c>
      <c r="M260" s="5">
        <v>218</v>
      </c>
      <c r="N260" s="5">
        <v>195</v>
      </c>
      <c r="O260" s="5" t="str">
        <f t="shared" si="8"/>
        <v>At least 20</v>
      </c>
      <c r="P260" s="5" t="str">
        <f t="shared" si="9"/>
        <v>Not all at least 20</v>
      </c>
    </row>
    <row r="261" spans="1:16" x14ac:dyDescent="0.35">
      <c r="A261" s="5" t="s">
        <v>378</v>
      </c>
      <c r="B261" s="5" t="str">
        <f>VLOOKUP(A261,schools!A261:B2009,2,FALSE)</f>
        <v>Southwind High</v>
      </c>
      <c r="C261" s="5" t="str">
        <f>VLOOKUP(A261,schools!A261:F2009,5,FALSE)</f>
        <v>Memphis</v>
      </c>
      <c r="D261" s="5" t="s">
        <v>376</v>
      </c>
      <c r="E261" s="5" t="s">
        <v>18</v>
      </c>
      <c r="F261" s="5">
        <v>324</v>
      </c>
      <c r="G261" s="5">
        <v>99</v>
      </c>
      <c r="H261" s="5">
        <v>14.8</v>
      </c>
      <c r="I261" s="5">
        <v>16.899999999999999</v>
      </c>
      <c r="J261" s="5">
        <v>16.8</v>
      </c>
      <c r="K261" s="5">
        <v>17.2</v>
      </c>
      <c r="L261" s="5">
        <v>16.600000000000001</v>
      </c>
      <c r="M261" s="5">
        <v>42</v>
      </c>
      <c r="N261" s="5">
        <v>253</v>
      </c>
      <c r="O261" s="5" t="str">
        <f t="shared" si="8"/>
        <v>Below 20</v>
      </c>
      <c r="P261" s="5" t="str">
        <f t="shared" si="9"/>
        <v>Not all at least 20</v>
      </c>
    </row>
    <row r="262" spans="1:16" x14ac:dyDescent="0.35">
      <c r="A262" s="5" t="s">
        <v>379</v>
      </c>
      <c r="B262" s="5" t="str">
        <f>VLOOKUP(A262,schools!A262:B2010,2,FALSE)</f>
        <v>B. T. Washington High</v>
      </c>
      <c r="C262" s="5" t="str">
        <f>VLOOKUP(A262,schools!A262:F2010,5,FALSE)</f>
        <v>Memphis</v>
      </c>
      <c r="D262" s="5" t="s">
        <v>376</v>
      </c>
      <c r="E262" s="5" t="s">
        <v>18</v>
      </c>
      <c r="F262" s="5">
        <v>87</v>
      </c>
      <c r="G262" s="5">
        <v>100</v>
      </c>
      <c r="H262" s="5">
        <v>11.7</v>
      </c>
      <c r="I262" s="5">
        <v>15.1</v>
      </c>
      <c r="J262" s="5">
        <v>13.4</v>
      </c>
      <c r="K262" s="5">
        <v>14.5</v>
      </c>
      <c r="L262" s="5">
        <v>13.8</v>
      </c>
      <c r="M262" s="5" t="s">
        <v>41</v>
      </c>
      <c r="N262" s="5" t="s">
        <v>41</v>
      </c>
      <c r="O262" s="5" t="str">
        <f t="shared" si="8"/>
        <v>Below 20</v>
      </c>
      <c r="P262" s="5" t="str">
        <f t="shared" si="9"/>
        <v>Not all at least 20</v>
      </c>
    </row>
    <row r="263" spans="1:16" x14ac:dyDescent="0.35">
      <c r="A263" s="5" t="s">
        <v>380</v>
      </c>
      <c r="B263" s="5" t="str">
        <f>VLOOKUP(A263,schools!A263:B2011,2,FALSE)</f>
        <v>Central High</v>
      </c>
      <c r="C263" s="5" t="str">
        <f>VLOOKUP(A263,schools!A263:F2011,5,FALSE)</f>
        <v>Memphis</v>
      </c>
      <c r="D263" s="5" t="s">
        <v>376</v>
      </c>
      <c r="E263" s="5" t="s">
        <v>18</v>
      </c>
      <c r="F263" s="5">
        <v>356</v>
      </c>
      <c r="G263" s="5">
        <v>99</v>
      </c>
      <c r="H263" s="5">
        <v>17.600000000000001</v>
      </c>
      <c r="I263" s="5">
        <v>18.2</v>
      </c>
      <c r="J263" s="5">
        <v>19.8</v>
      </c>
      <c r="K263" s="5">
        <v>19.2</v>
      </c>
      <c r="L263" s="5">
        <v>18.8</v>
      </c>
      <c r="M263" s="5">
        <v>117</v>
      </c>
      <c r="N263" s="5">
        <v>180</v>
      </c>
      <c r="O263" s="5" t="str">
        <f t="shared" si="8"/>
        <v>Below 20</v>
      </c>
      <c r="P263" s="5" t="str">
        <f t="shared" si="9"/>
        <v>Not all at least 20</v>
      </c>
    </row>
    <row r="264" spans="1:16" x14ac:dyDescent="0.35">
      <c r="A264" s="5" t="s">
        <v>381</v>
      </c>
      <c r="B264" s="5" t="str">
        <f>VLOOKUP(A264,schools!A264:B2012,2,FALSE)</f>
        <v>Cordova High School</v>
      </c>
      <c r="C264" s="5" t="str">
        <f>VLOOKUP(A264,schools!A264:F2012,5,FALSE)</f>
        <v>Cordova</v>
      </c>
      <c r="D264" s="5" t="s">
        <v>376</v>
      </c>
      <c r="E264" s="5" t="s">
        <v>18</v>
      </c>
      <c r="F264" s="5">
        <v>503</v>
      </c>
      <c r="G264" s="5">
        <v>98</v>
      </c>
      <c r="H264" s="5">
        <v>16.7</v>
      </c>
      <c r="I264" s="5">
        <v>17.100000000000001</v>
      </c>
      <c r="J264" s="5">
        <v>18.7</v>
      </c>
      <c r="K264" s="5">
        <v>18.2</v>
      </c>
      <c r="L264" s="5">
        <v>17.899999999999999</v>
      </c>
      <c r="M264" s="5">
        <v>119</v>
      </c>
      <c r="N264" s="5">
        <v>312</v>
      </c>
      <c r="O264" s="5" t="str">
        <f t="shared" si="8"/>
        <v>Below 20</v>
      </c>
      <c r="P264" s="5" t="str">
        <f t="shared" si="9"/>
        <v>Not all at least 20</v>
      </c>
    </row>
    <row r="265" spans="1:16" x14ac:dyDescent="0.35">
      <c r="A265" s="5" t="s">
        <v>382</v>
      </c>
      <c r="B265" s="5" t="str">
        <f>VLOOKUP(A265,schools!A265:B2013,2,FALSE)</f>
        <v>Craigmont High</v>
      </c>
      <c r="C265" s="5" t="str">
        <f>VLOOKUP(A265,schools!A265:F2013,5,FALSE)</f>
        <v>Memphis</v>
      </c>
      <c r="D265" s="5" t="s">
        <v>376</v>
      </c>
      <c r="E265" s="5" t="s">
        <v>18</v>
      </c>
      <c r="F265" s="5">
        <v>182</v>
      </c>
      <c r="G265" s="5">
        <v>97</v>
      </c>
      <c r="H265" s="5">
        <v>14.5</v>
      </c>
      <c r="I265" s="5">
        <v>16.100000000000001</v>
      </c>
      <c r="J265" s="5">
        <v>16.3</v>
      </c>
      <c r="K265" s="5">
        <v>16.5</v>
      </c>
      <c r="L265" s="5">
        <v>16</v>
      </c>
      <c r="M265" s="5">
        <v>19</v>
      </c>
      <c r="N265" s="5">
        <v>145</v>
      </c>
      <c r="O265" s="5" t="str">
        <f t="shared" si="8"/>
        <v>Below 20</v>
      </c>
      <c r="P265" s="5" t="str">
        <f t="shared" si="9"/>
        <v>Not all at least 20</v>
      </c>
    </row>
    <row r="266" spans="1:16" x14ac:dyDescent="0.35">
      <c r="A266" s="5" t="s">
        <v>383</v>
      </c>
      <c r="B266" s="5" t="str">
        <f>VLOOKUP(A266,schools!A266:B2014,2,FALSE)</f>
        <v>Douglass High</v>
      </c>
      <c r="C266" s="5" t="str">
        <f>VLOOKUP(A266,schools!A266:F2014,5,FALSE)</f>
        <v>Memphis</v>
      </c>
      <c r="D266" s="5" t="s">
        <v>376</v>
      </c>
      <c r="E266" s="5" t="s">
        <v>18</v>
      </c>
      <c r="F266" s="5">
        <v>114</v>
      </c>
      <c r="G266" s="5">
        <v>97</v>
      </c>
      <c r="H266" s="5">
        <v>14.4</v>
      </c>
      <c r="I266" s="5">
        <v>15.9</v>
      </c>
      <c r="J266" s="5">
        <v>16.100000000000001</v>
      </c>
      <c r="K266" s="5">
        <v>16.7</v>
      </c>
      <c r="L266" s="5">
        <v>15.9</v>
      </c>
      <c r="M266" s="5" t="s">
        <v>41</v>
      </c>
      <c r="N266" s="5" t="s">
        <v>41</v>
      </c>
      <c r="O266" s="5" t="str">
        <f t="shared" si="8"/>
        <v>Below 20</v>
      </c>
      <c r="P266" s="5" t="str">
        <f t="shared" si="9"/>
        <v>Not all at least 20</v>
      </c>
    </row>
    <row r="267" spans="1:16" x14ac:dyDescent="0.35">
      <c r="A267" s="5" t="s">
        <v>384</v>
      </c>
      <c r="B267" s="5" t="str">
        <f>VLOOKUP(A267,schools!A267:B2015,2,FALSE)</f>
        <v>East High</v>
      </c>
      <c r="C267" s="5" t="str">
        <f>VLOOKUP(A267,schools!A267:F2015,5,FALSE)</f>
        <v>Memphis</v>
      </c>
      <c r="D267" s="5" t="s">
        <v>376</v>
      </c>
      <c r="E267" s="5" t="s">
        <v>18</v>
      </c>
      <c r="F267" s="5">
        <v>85</v>
      </c>
      <c r="G267" s="5">
        <v>97</v>
      </c>
      <c r="H267" s="5">
        <v>14.1</v>
      </c>
      <c r="I267" s="5">
        <v>16.100000000000001</v>
      </c>
      <c r="J267" s="5">
        <v>15.8</v>
      </c>
      <c r="K267" s="5">
        <v>17.100000000000001</v>
      </c>
      <c r="L267" s="5">
        <v>16</v>
      </c>
      <c r="M267" s="5">
        <v>8</v>
      </c>
      <c r="N267" s="5">
        <v>66</v>
      </c>
      <c r="O267" s="5" t="str">
        <f t="shared" si="8"/>
        <v>Below 20</v>
      </c>
      <c r="P267" s="5" t="str">
        <f t="shared" si="9"/>
        <v>Not all at least 20</v>
      </c>
    </row>
    <row r="268" spans="1:16" x14ac:dyDescent="0.35">
      <c r="A268" s="5" t="s">
        <v>385</v>
      </c>
      <c r="B268" s="5" t="str">
        <f>VLOOKUP(A268,schools!A268:B2016,2,FALSE)</f>
        <v>Hamilton High</v>
      </c>
      <c r="C268" s="5" t="str">
        <f>VLOOKUP(A268,schools!A268:F2016,5,FALSE)</f>
        <v>Memphis</v>
      </c>
      <c r="D268" s="5" t="s">
        <v>376</v>
      </c>
      <c r="E268" s="5" t="s">
        <v>18</v>
      </c>
      <c r="F268" s="5">
        <v>134</v>
      </c>
      <c r="G268" s="5">
        <v>99</v>
      </c>
      <c r="H268" s="5">
        <v>13.4</v>
      </c>
      <c r="I268" s="5">
        <v>15.8</v>
      </c>
      <c r="J268" s="5">
        <v>15.4</v>
      </c>
      <c r="K268" s="5">
        <v>15.5</v>
      </c>
      <c r="L268" s="5">
        <v>15.2</v>
      </c>
      <c r="M268" s="5" t="s">
        <v>41</v>
      </c>
      <c r="N268" s="5" t="s">
        <v>41</v>
      </c>
      <c r="O268" s="5" t="str">
        <f t="shared" si="8"/>
        <v>Below 20</v>
      </c>
      <c r="P268" s="5" t="str">
        <f t="shared" si="9"/>
        <v>Not all at least 20</v>
      </c>
    </row>
    <row r="269" spans="1:16" x14ac:dyDescent="0.35">
      <c r="A269" s="5" t="s">
        <v>386</v>
      </c>
      <c r="B269" s="5" t="str">
        <f>VLOOKUP(A269,schools!A269:B2017,2,FALSE)</f>
        <v>Hollis F. Price Middle College</v>
      </c>
      <c r="C269" s="5" t="str">
        <f>VLOOKUP(A269,schools!A269:F2017,5,FALSE)</f>
        <v>Memphis</v>
      </c>
      <c r="D269" s="5" t="s">
        <v>376</v>
      </c>
      <c r="E269" s="5" t="s">
        <v>18</v>
      </c>
      <c r="F269" s="5">
        <v>20</v>
      </c>
      <c r="G269" s="5">
        <v>100</v>
      </c>
      <c r="H269" s="5">
        <v>21.2</v>
      </c>
      <c r="I269" s="5">
        <v>20.399999999999999</v>
      </c>
      <c r="J269" s="5">
        <v>21.1</v>
      </c>
      <c r="K269" s="5">
        <v>20</v>
      </c>
      <c r="L269" s="5">
        <v>20.8</v>
      </c>
      <c r="M269" s="5">
        <v>12</v>
      </c>
      <c r="N269" s="5">
        <v>6</v>
      </c>
      <c r="O269" s="5" t="str">
        <f t="shared" si="8"/>
        <v>At least 20</v>
      </c>
      <c r="P269" s="5" t="str">
        <f t="shared" si="9"/>
        <v>Not all at least 20</v>
      </c>
    </row>
    <row r="270" spans="1:16" x14ac:dyDescent="0.35">
      <c r="A270" s="5" t="s">
        <v>387</v>
      </c>
      <c r="B270" s="5" t="str">
        <f>VLOOKUP(A270,schools!A270:B2018,2,FALSE)</f>
        <v>Kingsbury High</v>
      </c>
      <c r="C270" s="5" t="str">
        <f>VLOOKUP(A270,schools!A270:F2018,5,FALSE)</f>
        <v>Memphis</v>
      </c>
      <c r="D270" s="5" t="s">
        <v>376</v>
      </c>
      <c r="E270" s="5" t="s">
        <v>18</v>
      </c>
      <c r="F270" s="5">
        <v>216</v>
      </c>
      <c r="G270" s="5">
        <v>100</v>
      </c>
      <c r="H270" s="5">
        <v>14.1</v>
      </c>
      <c r="I270" s="5">
        <v>16.600000000000001</v>
      </c>
      <c r="J270" s="5">
        <v>16.100000000000001</v>
      </c>
      <c r="K270" s="5">
        <v>17.3</v>
      </c>
      <c r="L270" s="5">
        <v>16.2</v>
      </c>
      <c r="M270" s="5">
        <v>24</v>
      </c>
      <c r="N270" s="5">
        <v>168</v>
      </c>
      <c r="O270" s="5" t="str">
        <f t="shared" si="8"/>
        <v>Below 20</v>
      </c>
      <c r="P270" s="5" t="str">
        <f t="shared" si="9"/>
        <v>Not all at least 20</v>
      </c>
    </row>
    <row r="271" spans="1:16" x14ac:dyDescent="0.35">
      <c r="A271" s="5" t="s">
        <v>388</v>
      </c>
      <c r="B271" s="5" t="str">
        <f>VLOOKUP(A271,schools!A271:B2019,2,FALSE)</f>
        <v>Kirby High</v>
      </c>
      <c r="C271" s="5" t="str">
        <f>VLOOKUP(A271,schools!A271:F2019,5,FALSE)</f>
        <v>Memphis</v>
      </c>
      <c r="D271" s="5" t="s">
        <v>376</v>
      </c>
      <c r="E271" s="5" t="s">
        <v>18</v>
      </c>
      <c r="F271" s="5">
        <v>176</v>
      </c>
      <c r="G271" s="5">
        <v>95</v>
      </c>
      <c r="H271" s="5">
        <v>14.1</v>
      </c>
      <c r="I271" s="5">
        <v>16.600000000000001</v>
      </c>
      <c r="J271" s="5">
        <v>16.2</v>
      </c>
      <c r="K271" s="5">
        <v>16.7</v>
      </c>
      <c r="L271" s="5">
        <v>16</v>
      </c>
      <c r="M271" s="5">
        <v>14</v>
      </c>
      <c r="N271" s="5">
        <v>141</v>
      </c>
      <c r="O271" s="5" t="str">
        <f t="shared" si="8"/>
        <v>Below 20</v>
      </c>
      <c r="P271" s="5" t="str">
        <f t="shared" si="9"/>
        <v>Not all at least 20</v>
      </c>
    </row>
    <row r="272" spans="1:16" x14ac:dyDescent="0.35">
      <c r="A272" s="5" t="s">
        <v>389</v>
      </c>
      <c r="B272" s="5" t="str">
        <f>VLOOKUP(A272,schools!A272:B2020,2,FALSE)</f>
        <v>Manassas High</v>
      </c>
      <c r="C272" s="5" t="str">
        <f>VLOOKUP(A272,schools!A272:F2020,5,FALSE)</f>
        <v>Memphis</v>
      </c>
      <c r="D272" s="5" t="s">
        <v>376</v>
      </c>
      <c r="E272" s="5" t="s">
        <v>18</v>
      </c>
      <c r="F272" s="5">
        <v>95</v>
      </c>
      <c r="G272" s="5">
        <v>100</v>
      </c>
      <c r="H272" s="5">
        <v>12.2</v>
      </c>
      <c r="I272" s="5">
        <v>15.5</v>
      </c>
      <c r="J272" s="5">
        <v>14.4</v>
      </c>
      <c r="K272" s="5">
        <v>15</v>
      </c>
      <c r="L272" s="5">
        <v>14.4</v>
      </c>
      <c r="M272" s="5" t="s">
        <v>41</v>
      </c>
      <c r="N272" s="5" t="s">
        <v>41</v>
      </c>
      <c r="O272" s="5" t="str">
        <f t="shared" si="8"/>
        <v>Below 20</v>
      </c>
      <c r="P272" s="5" t="str">
        <f t="shared" si="9"/>
        <v>Not all at least 20</v>
      </c>
    </row>
    <row r="273" spans="1:16" x14ac:dyDescent="0.35">
      <c r="A273" s="5" t="s">
        <v>390</v>
      </c>
      <c r="B273" s="5" t="str">
        <f>VLOOKUP(A273,schools!A273:B2021,2,FALSE)</f>
        <v>Melrose High</v>
      </c>
      <c r="C273" s="5" t="str">
        <f>VLOOKUP(A273,schools!A273:F2021,5,FALSE)</f>
        <v>Memphis</v>
      </c>
      <c r="D273" s="5" t="s">
        <v>376</v>
      </c>
      <c r="E273" s="5" t="s">
        <v>18</v>
      </c>
      <c r="F273" s="5">
        <v>119</v>
      </c>
      <c r="G273" s="5">
        <v>98</v>
      </c>
      <c r="H273" s="5">
        <v>13.2</v>
      </c>
      <c r="I273" s="5">
        <v>16.100000000000001</v>
      </c>
      <c r="J273" s="5">
        <v>15.5</v>
      </c>
      <c r="K273" s="5">
        <v>16.3</v>
      </c>
      <c r="L273" s="5">
        <v>15.4</v>
      </c>
      <c r="M273" s="5" t="s">
        <v>41</v>
      </c>
      <c r="N273" s="5" t="s">
        <v>41</v>
      </c>
      <c r="O273" s="5" t="str">
        <f t="shared" si="8"/>
        <v>Below 20</v>
      </c>
      <c r="P273" s="5" t="str">
        <f t="shared" si="9"/>
        <v>Not all at least 20</v>
      </c>
    </row>
    <row r="274" spans="1:16" x14ac:dyDescent="0.35">
      <c r="A274" s="5" t="s">
        <v>391</v>
      </c>
      <c r="B274" s="5" t="str">
        <f>VLOOKUP(A274,schools!A274:B2022,2,FALSE)</f>
        <v>Middle College High</v>
      </c>
      <c r="C274" s="5" t="str">
        <f>VLOOKUP(A274,schools!A274:F2022,5,FALSE)</f>
        <v>Memphis</v>
      </c>
      <c r="D274" s="5" t="s">
        <v>376</v>
      </c>
      <c r="E274" s="5" t="s">
        <v>18</v>
      </c>
      <c r="F274" s="5">
        <v>70</v>
      </c>
      <c r="G274" s="5">
        <v>97</v>
      </c>
      <c r="H274" s="5">
        <v>23.6</v>
      </c>
      <c r="I274" s="5">
        <v>21.3</v>
      </c>
      <c r="J274" s="5">
        <v>24.6</v>
      </c>
      <c r="K274" s="5">
        <v>22.7</v>
      </c>
      <c r="L274" s="5">
        <v>23.3</v>
      </c>
      <c r="M274" s="5">
        <v>55</v>
      </c>
      <c r="N274" s="5">
        <v>5</v>
      </c>
      <c r="O274" s="5" t="str">
        <f t="shared" si="8"/>
        <v>At least 20</v>
      </c>
      <c r="P274" s="5" t="str">
        <f t="shared" si="9"/>
        <v>All at least 20</v>
      </c>
    </row>
    <row r="275" spans="1:16" x14ac:dyDescent="0.35">
      <c r="A275" s="5" t="s">
        <v>392</v>
      </c>
      <c r="B275" s="5" t="str">
        <f>VLOOKUP(A275,schools!A275:B2023,2,FALSE)</f>
        <v>Mitchell High</v>
      </c>
      <c r="C275" s="5" t="str">
        <f>VLOOKUP(A275,schools!A275:F2023,5,FALSE)</f>
        <v>Memphis</v>
      </c>
      <c r="D275" s="5" t="s">
        <v>376</v>
      </c>
      <c r="E275" s="5" t="s">
        <v>18</v>
      </c>
      <c r="F275" s="5">
        <v>104</v>
      </c>
      <c r="G275" s="5">
        <v>96</v>
      </c>
      <c r="H275" s="5">
        <v>12.7</v>
      </c>
      <c r="I275" s="5">
        <v>15.7</v>
      </c>
      <c r="J275" s="5">
        <v>14.5</v>
      </c>
      <c r="K275" s="5">
        <v>15.1</v>
      </c>
      <c r="L275" s="5">
        <v>14.7</v>
      </c>
      <c r="M275" s="5" t="s">
        <v>41</v>
      </c>
      <c r="N275" s="5" t="s">
        <v>41</v>
      </c>
      <c r="O275" s="5" t="str">
        <f t="shared" si="8"/>
        <v>Below 20</v>
      </c>
      <c r="P275" s="5" t="str">
        <f t="shared" si="9"/>
        <v>Not all at least 20</v>
      </c>
    </row>
    <row r="276" spans="1:16" x14ac:dyDescent="0.35">
      <c r="A276" s="5" t="s">
        <v>393</v>
      </c>
      <c r="B276" s="5" t="str">
        <f>VLOOKUP(A276,schools!A276:B2024,2,FALSE)</f>
        <v>Oakhaven High</v>
      </c>
      <c r="C276" s="5" t="str">
        <f>VLOOKUP(A276,schools!A276:F2024,5,FALSE)</f>
        <v>Memphis</v>
      </c>
      <c r="D276" s="5" t="s">
        <v>376</v>
      </c>
      <c r="E276" s="5" t="s">
        <v>18</v>
      </c>
      <c r="F276" s="5">
        <v>70</v>
      </c>
      <c r="G276" s="5">
        <v>97</v>
      </c>
      <c r="H276" s="5">
        <v>13</v>
      </c>
      <c r="I276" s="5">
        <v>16.3</v>
      </c>
      <c r="J276" s="5">
        <v>14.3</v>
      </c>
      <c r="K276" s="5">
        <v>15.7</v>
      </c>
      <c r="L276" s="5">
        <v>15</v>
      </c>
      <c r="M276" s="5" t="s">
        <v>41</v>
      </c>
      <c r="N276" s="5" t="s">
        <v>41</v>
      </c>
      <c r="O276" s="5" t="str">
        <f t="shared" si="8"/>
        <v>Below 20</v>
      </c>
      <c r="P276" s="5" t="str">
        <f t="shared" si="9"/>
        <v>Not all at least 20</v>
      </c>
    </row>
    <row r="277" spans="1:16" x14ac:dyDescent="0.35">
      <c r="A277" s="5" t="s">
        <v>394</v>
      </c>
      <c r="B277" s="5" t="str">
        <f>VLOOKUP(A277,schools!A277:B2025,2,FALSE)</f>
        <v>Overton High</v>
      </c>
      <c r="C277" s="5" t="str">
        <f>VLOOKUP(A277,schools!A277:F2025,5,FALSE)</f>
        <v>Memphis</v>
      </c>
      <c r="D277" s="5" t="s">
        <v>376</v>
      </c>
      <c r="E277" s="5" t="s">
        <v>18</v>
      </c>
      <c r="F277" s="5">
        <v>244</v>
      </c>
      <c r="G277" s="5">
        <v>99</v>
      </c>
      <c r="H277" s="5">
        <v>17.399999999999999</v>
      </c>
      <c r="I277" s="5">
        <v>17.2</v>
      </c>
      <c r="J277" s="5">
        <v>18.7</v>
      </c>
      <c r="K277" s="5">
        <v>18.2</v>
      </c>
      <c r="L277" s="5">
        <v>18.100000000000001</v>
      </c>
      <c r="M277" s="5">
        <v>57</v>
      </c>
      <c r="N277" s="5">
        <v>145</v>
      </c>
      <c r="O277" s="5" t="str">
        <f t="shared" si="8"/>
        <v>Below 20</v>
      </c>
      <c r="P277" s="5" t="str">
        <f t="shared" si="9"/>
        <v>Not all at least 20</v>
      </c>
    </row>
    <row r="278" spans="1:16" x14ac:dyDescent="0.35">
      <c r="A278" s="5" t="s">
        <v>395</v>
      </c>
      <c r="B278" s="5" t="str">
        <f>VLOOKUP(A278,schools!A278:B2026,2,FALSE)</f>
        <v>Raleigh-Egypt High</v>
      </c>
      <c r="C278" s="5" t="str">
        <f>VLOOKUP(A278,schools!A278:F2026,5,FALSE)</f>
        <v>Memphis</v>
      </c>
      <c r="D278" s="5" t="s">
        <v>376</v>
      </c>
      <c r="E278" s="5" t="s">
        <v>18</v>
      </c>
      <c r="F278" s="5">
        <v>119</v>
      </c>
      <c r="G278" s="5">
        <v>99</v>
      </c>
      <c r="H278" s="5">
        <v>13.6</v>
      </c>
      <c r="I278" s="5">
        <v>15.8</v>
      </c>
      <c r="J278" s="5">
        <v>15.3</v>
      </c>
      <c r="K278" s="5">
        <v>15.5</v>
      </c>
      <c r="L278" s="5">
        <v>15.2</v>
      </c>
      <c r="M278" s="5">
        <v>7</v>
      </c>
      <c r="N278" s="5">
        <v>105</v>
      </c>
      <c r="O278" s="5" t="str">
        <f t="shared" si="8"/>
        <v>Below 20</v>
      </c>
      <c r="P278" s="5" t="str">
        <f t="shared" si="9"/>
        <v>Not all at least 20</v>
      </c>
    </row>
    <row r="279" spans="1:16" x14ac:dyDescent="0.35">
      <c r="A279" s="5" t="s">
        <v>396</v>
      </c>
      <c r="B279" s="5" t="str">
        <f>VLOOKUP(A279,schools!A279:B2027,2,FALSE)</f>
        <v>Ridgeway High</v>
      </c>
      <c r="C279" s="5" t="str">
        <f>VLOOKUP(A279,schools!A279:F2027,5,FALSE)</f>
        <v>Memphis</v>
      </c>
      <c r="D279" s="5" t="s">
        <v>376</v>
      </c>
      <c r="E279" s="5" t="s">
        <v>18</v>
      </c>
      <c r="F279" s="5">
        <v>280</v>
      </c>
      <c r="G279" s="5">
        <v>99</v>
      </c>
      <c r="H279" s="5">
        <v>15.6</v>
      </c>
      <c r="I279" s="5">
        <v>16.899999999999999</v>
      </c>
      <c r="J279" s="5">
        <v>17.7</v>
      </c>
      <c r="K279" s="5">
        <v>17.600000000000001</v>
      </c>
      <c r="L279" s="5">
        <v>17.100000000000001</v>
      </c>
      <c r="M279" s="5">
        <v>49</v>
      </c>
      <c r="N279" s="5">
        <v>200</v>
      </c>
      <c r="O279" s="5" t="str">
        <f t="shared" si="8"/>
        <v>Below 20</v>
      </c>
      <c r="P279" s="5" t="str">
        <f t="shared" si="9"/>
        <v>Not all at least 20</v>
      </c>
    </row>
    <row r="280" spans="1:16" x14ac:dyDescent="0.35">
      <c r="A280" s="5" t="s">
        <v>397</v>
      </c>
      <c r="B280" s="5" t="str">
        <f>VLOOKUP(A280,schools!A280:B2028,2,FALSE)</f>
        <v>Sheffield High</v>
      </c>
      <c r="C280" s="5" t="str">
        <f>VLOOKUP(A280,schools!A280:F2028,5,FALSE)</f>
        <v>Memphis</v>
      </c>
      <c r="D280" s="5" t="s">
        <v>376</v>
      </c>
      <c r="E280" s="5" t="s">
        <v>18</v>
      </c>
      <c r="F280" s="5">
        <v>133</v>
      </c>
      <c r="G280" s="5">
        <v>96</v>
      </c>
      <c r="H280" s="5">
        <v>12.6</v>
      </c>
      <c r="I280" s="5">
        <v>15.6</v>
      </c>
      <c r="J280" s="5">
        <v>14.5</v>
      </c>
      <c r="K280" s="5">
        <v>15.2</v>
      </c>
      <c r="L280" s="5">
        <v>14.6</v>
      </c>
      <c r="M280" s="5" t="s">
        <v>41</v>
      </c>
      <c r="N280" s="5" t="s">
        <v>41</v>
      </c>
      <c r="O280" s="5" t="str">
        <f t="shared" si="8"/>
        <v>Below 20</v>
      </c>
      <c r="P280" s="5" t="str">
        <f t="shared" si="9"/>
        <v>Not all at least 20</v>
      </c>
    </row>
    <row r="281" spans="1:16" x14ac:dyDescent="0.35">
      <c r="A281" s="5" t="s">
        <v>398</v>
      </c>
      <c r="B281" s="5" t="str">
        <f>VLOOKUP(A281,schools!A281:B2029,2,FALSE)</f>
        <v>Trezevant High</v>
      </c>
      <c r="C281" s="5" t="str">
        <f>VLOOKUP(A281,schools!A281:F2029,5,FALSE)</f>
        <v>Memphis</v>
      </c>
      <c r="D281" s="5" t="s">
        <v>376</v>
      </c>
      <c r="E281" s="5" t="s">
        <v>18</v>
      </c>
      <c r="F281" s="5">
        <v>112</v>
      </c>
      <c r="G281" s="5">
        <v>98</v>
      </c>
      <c r="H281" s="5">
        <v>12.4</v>
      </c>
      <c r="I281" s="5">
        <v>15.3</v>
      </c>
      <c r="J281" s="5">
        <v>13.5</v>
      </c>
      <c r="K281" s="5">
        <v>15</v>
      </c>
      <c r="L281" s="5">
        <v>14.2</v>
      </c>
      <c r="M281" s="5" t="s">
        <v>41</v>
      </c>
      <c r="N281" s="5" t="s">
        <v>41</v>
      </c>
      <c r="O281" s="5" t="str">
        <f t="shared" si="8"/>
        <v>Below 20</v>
      </c>
      <c r="P281" s="5" t="str">
        <f t="shared" si="9"/>
        <v>Not all at least 20</v>
      </c>
    </row>
    <row r="282" spans="1:16" x14ac:dyDescent="0.35">
      <c r="A282" s="5" t="s">
        <v>399</v>
      </c>
      <c r="B282" s="5" t="str">
        <f>VLOOKUP(A282,schools!A282:B2030,2,FALSE)</f>
        <v>Westwood High</v>
      </c>
      <c r="C282" s="5" t="str">
        <f>VLOOKUP(A282,schools!A282:F2030,5,FALSE)</f>
        <v>Memphis</v>
      </c>
      <c r="D282" s="5" t="s">
        <v>376</v>
      </c>
      <c r="E282" s="5" t="s">
        <v>18</v>
      </c>
      <c r="F282" s="5">
        <v>49</v>
      </c>
      <c r="G282" s="5">
        <v>96</v>
      </c>
      <c r="H282" s="5">
        <v>14.5</v>
      </c>
      <c r="I282" s="5">
        <v>15.8</v>
      </c>
      <c r="J282" s="5">
        <v>15.4</v>
      </c>
      <c r="K282" s="5">
        <v>16.3</v>
      </c>
      <c r="L282" s="5">
        <v>15.7</v>
      </c>
      <c r="M282" s="5" t="s">
        <v>41</v>
      </c>
      <c r="N282" s="5" t="s">
        <v>41</v>
      </c>
      <c r="O282" s="5" t="str">
        <f t="shared" si="8"/>
        <v>Below 20</v>
      </c>
      <c r="P282" s="5" t="str">
        <f t="shared" si="9"/>
        <v>Not all at least 20</v>
      </c>
    </row>
    <row r="283" spans="1:16" x14ac:dyDescent="0.35">
      <c r="A283" s="5" t="s">
        <v>400</v>
      </c>
      <c r="B283" s="5" t="str">
        <f>VLOOKUP(A283,schools!A283:B2031,2,FALSE)</f>
        <v>White Station High</v>
      </c>
      <c r="C283" s="5" t="str">
        <f>VLOOKUP(A283,schools!A283:F2031,5,FALSE)</f>
        <v>Memphis</v>
      </c>
      <c r="D283" s="5" t="s">
        <v>376</v>
      </c>
      <c r="E283" s="5" t="s">
        <v>18</v>
      </c>
      <c r="F283" s="5">
        <v>492</v>
      </c>
      <c r="G283" s="5">
        <v>99</v>
      </c>
      <c r="H283" s="5">
        <v>23.7</v>
      </c>
      <c r="I283" s="5">
        <v>22.3</v>
      </c>
      <c r="J283" s="5">
        <v>24.6</v>
      </c>
      <c r="K283" s="5">
        <v>23</v>
      </c>
      <c r="L283" s="5">
        <v>23.6</v>
      </c>
      <c r="M283" s="5">
        <v>303</v>
      </c>
      <c r="N283" s="5">
        <v>137</v>
      </c>
      <c r="O283" s="5" t="str">
        <f t="shared" si="8"/>
        <v>At least 20</v>
      </c>
      <c r="P283" s="5" t="str">
        <f t="shared" si="9"/>
        <v>All at least 20</v>
      </c>
    </row>
    <row r="284" spans="1:16" x14ac:dyDescent="0.35">
      <c r="A284" s="5" t="s">
        <v>401</v>
      </c>
      <c r="B284" s="5" t="str">
        <f>VLOOKUP(A284,schools!A284:B2032,2,FALSE)</f>
        <v>Whitehaven High</v>
      </c>
      <c r="C284" s="5" t="str">
        <f>VLOOKUP(A284,schools!A284:F2032,5,FALSE)</f>
        <v>Memphis</v>
      </c>
      <c r="D284" s="5" t="s">
        <v>376</v>
      </c>
      <c r="E284" s="5" t="s">
        <v>18</v>
      </c>
      <c r="F284" s="5">
        <v>394</v>
      </c>
      <c r="G284" s="5">
        <v>99</v>
      </c>
      <c r="H284" s="5">
        <v>17.2</v>
      </c>
      <c r="I284" s="5">
        <v>17.399999999999999</v>
      </c>
      <c r="J284" s="5">
        <v>18.7</v>
      </c>
      <c r="K284" s="5">
        <v>18.3</v>
      </c>
      <c r="L284" s="5">
        <v>18.100000000000001</v>
      </c>
      <c r="M284" s="5">
        <v>93</v>
      </c>
      <c r="N284" s="5">
        <v>238</v>
      </c>
      <c r="O284" s="5" t="str">
        <f t="shared" si="8"/>
        <v>Below 20</v>
      </c>
      <c r="P284" s="5" t="str">
        <f t="shared" si="9"/>
        <v>Not all at least 20</v>
      </c>
    </row>
    <row r="285" spans="1:16" x14ac:dyDescent="0.35">
      <c r="A285" s="5" t="s">
        <v>402</v>
      </c>
      <c r="B285" s="5" t="str">
        <f>VLOOKUP(A285,schools!A285:B2033,2,FALSE)</f>
        <v>Wooddale High</v>
      </c>
      <c r="C285" s="5" t="str">
        <f>VLOOKUP(A285,schools!A285:F2033,5,FALSE)</f>
        <v>Memphis</v>
      </c>
      <c r="D285" s="5" t="s">
        <v>376</v>
      </c>
      <c r="E285" s="5" t="s">
        <v>18</v>
      </c>
      <c r="F285" s="5">
        <v>190</v>
      </c>
      <c r="G285" s="5">
        <v>99</v>
      </c>
      <c r="H285" s="5">
        <v>13.9</v>
      </c>
      <c r="I285" s="5">
        <v>16.3</v>
      </c>
      <c r="J285" s="5">
        <v>16.2</v>
      </c>
      <c r="K285" s="5">
        <v>16.399999999999999</v>
      </c>
      <c r="L285" s="5">
        <v>15.9</v>
      </c>
      <c r="M285" s="5">
        <v>23</v>
      </c>
      <c r="N285" s="5">
        <v>151</v>
      </c>
      <c r="O285" s="5" t="str">
        <f t="shared" si="8"/>
        <v>Below 20</v>
      </c>
      <c r="P285" s="5" t="str">
        <f t="shared" si="9"/>
        <v>Not all at least 20</v>
      </c>
    </row>
    <row r="286" spans="1:16" x14ac:dyDescent="0.35">
      <c r="A286" s="5" t="s">
        <v>403</v>
      </c>
      <c r="B286" s="5" t="str">
        <f>VLOOKUP(A286,schools!A286:B2034,2,FALSE)</f>
        <v>Northwest Prep Academy</v>
      </c>
      <c r="C286" s="5" t="str">
        <f>VLOOKUP(A286,schools!A286:F2034,5,FALSE)</f>
        <v>Memphis</v>
      </c>
      <c r="D286" s="5" t="s">
        <v>376</v>
      </c>
      <c r="E286" s="5" t="s">
        <v>18</v>
      </c>
      <c r="F286" s="5">
        <v>43</v>
      </c>
      <c r="G286" s="5">
        <v>91</v>
      </c>
      <c r="H286" s="5">
        <v>11.8</v>
      </c>
      <c r="I286" s="5">
        <v>14.9</v>
      </c>
      <c r="J286" s="5">
        <v>13.8</v>
      </c>
      <c r="K286" s="5">
        <v>14.3</v>
      </c>
      <c r="L286" s="5">
        <v>14</v>
      </c>
      <c r="M286" s="5" t="s">
        <v>41</v>
      </c>
      <c r="N286" s="5" t="s">
        <v>41</v>
      </c>
      <c r="O286" s="5" t="str">
        <f t="shared" si="8"/>
        <v>Below 20</v>
      </c>
      <c r="P286" s="5" t="str">
        <f t="shared" si="9"/>
        <v>Not all at least 20</v>
      </c>
    </row>
    <row r="287" spans="1:16" x14ac:dyDescent="0.35">
      <c r="A287" s="5" t="s">
        <v>404</v>
      </c>
      <c r="B287" s="5" t="str">
        <f>VLOOKUP(A287,schools!A287:B2035,2,FALSE)</f>
        <v>Memphis Virtual School</v>
      </c>
      <c r="C287" s="5" t="str">
        <f>VLOOKUP(A287,schools!A287:F2035,5,FALSE)</f>
        <v>Memphis</v>
      </c>
      <c r="D287" s="5" t="s">
        <v>376</v>
      </c>
      <c r="E287" s="5" t="s">
        <v>18</v>
      </c>
      <c r="F287" s="5">
        <v>11</v>
      </c>
      <c r="G287" s="5">
        <v>92</v>
      </c>
      <c r="H287" s="5">
        <v>16.5</v>
      </c>
      <c r="I287" s="5">
        <v>16.899999999999999</v>
      </c>
      <c r="J287" s="5">
        <v>18.7</v>
      </c>
      <c r="K287" s="5">
        <v>18.3</v>
      </c>
      <c r="L287" s="5">
        <v>17.8</v>
      </c>
      <c r="M287" s="5">
        <v>2</v>
      </c>
      <c r="N287" s="5">
        <v>8</v>
      </c>
      <c r="O287" s="5" t="str">
        <f t="shared" si="8"/>
        <v>Below 20</v>
      </c>
      <c r="P287" s="5" t="str">
        <f t="shared" si="9"/>
        <v>Not all at least 20</v>
      </c>
    </row>
    <row r="288" spans="1:16" x14ac:dyDescent="0.35">
      <c r="A288" s="5" t="s">
        <v>405</v>
      </c>
      <c r="B288" s="5" t="str">
        <f>VLOOKUP(A288,schools!A288:B2036,2,FALSE)</f>
        <v>DuBois High School of Arts Technology</v>
      </c>
      <c r="C288" s="5" t="str">
        <f>VLOOKUP(A288,schools!A288:F2036,5,FALSE)</f>
        <v>Memphis</v>
      </c>
      <c r="D288" s="5" t="s">
        <v>376</v>
      </c>
      <c r="E288" s="5" t="s">
        <v>18</v>
      </c>
      <c r="F288" s="5">
        <v>38</v>
      </c>
      <c r="G288" s="5">
        <v>100</v>
      </c>
      <c r="H288" s="5">
        <v>14.6</v>
      </c>
      <c r="I288" s="5">
        <v>15.3</v>
      </c>
      <c r="J288" s="5">
        <v>16.8</v>
      </c>
      <c r="K288" s="5">
        <v>16.100000000000001</v>
      </c>
      <c r="L288" s="5">
        <v>15.9</v>
      </c>
      <c r="M288" s="5">
        <v>3</v>
      </c>
      <c r="N288" s="5">
        <v>32</v>
      </c>
      <c r="O288" s="5" t="str">
        <f t="shared" si="8"/>
        <v>Below 20</v>
      </c>
      <c r="P288" s="5" t="str">
        <f t="shared" si="9"/>
        <v>Not all at least 20</v>
      </c>
    </row>
    <row r="289" spans="1:16" x14ac:dyDescent="0.35">
      <c r="A289" s="5" t="s">
        <v>406</v>
      </c>
      <c r="B289" s="5" t="str">
        <f>VLOOKUP(A289,schools!A289:B2037,2,FALSE)</f>
        <v>DuBois High of Leadership Public Policy</v>
      </c>
      <c r="C289" s="5" t="str">
        <f>VLOOKUP(A289,schools!A289:F2037,5,FALSE)</f>
        <v>Memphis</v>
      </c>
      <c r="D289" s="5" t="s">
        <v>376</v>
      </c>
      <c r="E289" s="5" t="s">
        <v>18</v>
      </c>
      <c r="F289" s="5">
        <v>9</v>
      </c>
      <c r="G289" s="5" t="s">
        <v>44</v>
      </c>
      <c r="H289" s="5" t="s">
        <v>44</v>
      </c>
      <c r="I289" s="5" t="s">
        <v>44</v>
      </c>
      <c r="J289" s="5" t="s">
        <v>44</v>
      </c>
      <c r="K289" s="5" t="s">
        <v>44</v>
      </c>
      <c r="L289" s="5" t="s">
        <v>44</v>
      </c>
      <c r="M289" s="5" t="s">
        <v>44</v>
      </c>
      <c r="N289" s="5" t="s">
        <v>44</v>
      </c>
      <c r="O289" s="5" t="str">
        <f t="shared" si="8"/>
        <v>Score Not Available</v>
      </c>
      <c r="P289" s="5" t="str">
        <f t="shared" si="9"/>
        <v>Not all at least 20</v>
      </c>
    </row>
    <row r="290" spans="1:16" x14ac:dyDescent="0.35">
      <c r="A290" s="5" t="s">
        <v>407</v>
      </c>
      <c r="B290" s="5" t="str">
        <f>VLOOKUP(A290,schools!A290:B2038,2,FALSE)</f>
        <v>KIPP Memphis Collegiate High School</v>
      </c>
      <c r="C290" s="5" t="str">
        <f>VLOOKUP(A290,schools!A290:F2038,5,FALSE)</f>
        <v>Memphis</v>
      </c>
      <c r="D290" s="5" t="s">
        <v>376</v>
      </c>
      <c r="E290" s="5" t="s">
        <v>18</v>
      </c>
      <c r="F290" s="5">
        <v>81</v>
      </c>
      <c r="G290" s="5">
        <v>100</v>
      </c>
      <c r="H290" s="5">
        <v>15.8</v>
      </c>
      <c r="I290" s="5">
        <v>17.3</v>
      </c>
      <c r="J290" s="5">
        <v>17.399999999999999</v>
      </c>
      <c r="K290" s="5">
        <v>17.7</v>
      </c>
      <c r="L290" s="5">
        <v>17.2</v>
      </c>
      <c r="M290" s="5">
        <v>12</v>
      </c>
      <c r="N290" s="5">
        <v>57</v>
      </c>
      <c r="O290" s="5" t="str">
        <f t="shared" si="8"/>
        <v>Below 20</v>
      </c>
      <c r="P290" s="5" t="str">
        <f t="shared" si="9"/>
        <v>Not all at least 20</v>
      </c>
    </row>
    <row r="291" spans="1:16" x14ac:dyDescent="0.35">
      <c r="A291" s="5" t="s">
        <v>408</v>
      </c>
      <c r="B291" s="5" t="str">
        <f>VLOOKUP(A291,schools!A291:B2039,2,FALSE)</f>
        <v>City University School Of Liberal Arts</v>
      </c>
      <c r="C291" s="5" t="str">
        <f>VLOOKUP(A291,schools!A291:F2039,5,FALSE)</f>
        <v>Memphis</v>
      </c>
      <c r="D291" s="5" t="s">
        <v>376</v>
      </c>
      <c r="E291" s="5" t="s">
        <v>18</v>
      </c>
      <c r="F291" s="5">
        <v>66</v>
      </c>
      <c r="G291" s="5">
        <v>100</v>
      </c>
      <c r="H291" s="5">
        <v>15.5</v>
      </c>
      <c r="I291" s="5">
        <v>16.2</v>
      </c>
      <c r="J291" s="5">
        <v>16.7</v>
      </c>
      <c r="K291" s="5">
        <v>16.8</v>
      </c>
      <c r="L291" s="5">
        <v>16.5</v>
      </c>
      <c r="M291" s="5">
        <v>6</v>
      </c>
      <c r="N291" s="5">
        <v>49</v>
      </c>
      <c r="O291" s="5" t="str">
        <f t="shared" si="8"/>
        <v>Below 20</v>
      </c>
      <c r="P291" s="5" t="str">
        <f t="shared" si="9"/>
        <v>Not all at least 20</v>
      </c>
    </row>
    <row r="292" spans="1:16" x14ac:dyDescent="0.35">
      <c r="A292" s="5" t="s">
        <v>409</v>
      </c>
      <c r="B292" s="5" t="str">
        <f>VLOOKUP(A292,schools!A292:B2040,2,FALSE)</f>
        <v>Memphis Academy Of Science Engineering Middle/High</v>
      </c>
      <c r="C292" s="5" t="str">
        <f>VLOOKUP(A292,schools!A292:F2040,5,FALSE)</f>
        <v>Memphis</v>
      </c>
      <c r="D292" s="5" t="s">
        <v>376</v>
      </c>
      <c r="E292" s="5" t="s">
        <v>18</v>
      </c>
      <c r="F292" s="5">
        <v>57</v>
      </c>
      <c r="G292" s="5">
        <v>100</v>
      </c>
      <c r="H292" s="5">
        <v>15.7</v>
      </c>
      <c r="I292" s="5">
        <v>17.2</v>
      </c>
      <c r="J292" s="5">
        <v>16.7</v>
      </c>
      <c r="K292" s="5">
        <v>17</v>
      </c>
      <c r="L292" s="5">
        <v>16.8</v>
      </c>
      <c r="M292" s="5">
        <v>6</v>
      </c>
      <c r="N292" s="5">
        <v>44</v>
      </c>
      <c r="O292" s="5" t="str">
        <f t="shared" si="8"/>
        <v>Below 20</v>
      </c>
      <c r="P292" s="5" t="str">
        <f t="shared" si="9"/>
        <v>Not all at least 20</v>
      </c>
    </row>
    <row r="293" spans="1:16" x14ac:dyDescent="0.35">
      <c r="A293" s="5" t="s">
        <v>410</v>
      </c>
      <c r="B293" s="5" t="str">
        <f>VLOOKUP(A293,schools!A293:B2041,2,FALSE)</f>
        <v>Power Center Academy High School</v>
      </c>
      <c r="C293" s="5" t="str">
        <f>VLOOKUP(A293,schools!A293:F2041,5,FALSE)</f>
        <v>Memphis</v>
      </c>
      <c r="D293" s="5" t="s">
        <v>376</v>
      </c>
      <c r="E293" s="5" t="s">
        <v>18</v>
      </c>
      <c r="F293" s="5">
        <v>157</v>
      </c>
      <c r="G293" s="5">
        <v>100</v>
      </c>
      <c r="H293" s="5">
        <v>17.5</v>
      </c>
      <c r="I293" s="5">
        <v>17.100000000000001</v>
      </c>
      <c r="J293" s="5">
        <v>18.5</v>
      </c>
      <c r="K293" s="5">
        <v>18.2</v>
      </c>
      <c r="L293" s="5">
        <v>18</v>
      </c>
      <c r="M293" s="5">
        <v>29</v>
      </c>
      <c r="N293" s="5">
        <v>90</v>
      </c>
      <c r="O293" s="5" t="str">
        <f t="shared" si="8"/>
        <v>Below 20</v>
      </c>
      <c r="P293" s="5" t="str">
        <f t="shared" si="9"/>
        <v>Not all at least 20</v>
      </c>
    </row>
    <row r="294" spans="1:16" x14ac:dyDescent="0.35">
      <c r="A294" s="5" t="s">
        <v>411</v>
      </c>
      <c r="B294" s="5" t="str">
        <f>VLOOKUP(A294,schools!A294:B2042,2,FALSE)</f>
        <v>Memphis Academy of Health Sciences High School</v>
      </c>
      <c r="C294" s="5" t="str">
        <f>VLOOKUP(A294,schools!A294:F2042,5,FALSE)</f>
        <v>Memphis</v>
      </c>
      <c r="D294" s="5" t="s">
        <v>376</v>
      </c>
      <c r="E294" s="5" t="s">
        <v>18</v>
      </c>
      <c r="F294" s="5">
        <v>81</v>
      </c>
      <c r="G294" s="5">
        <v>99</v>
      </c>
      <c r="H294" s="5">
        <v>17.5</v>
      </c>
      <c r="I294" s="5">
        <v>16.899999999999999</v>
      </c>
      <c r="J294" s="5">
        <v>17.399999999999999</v>
      </c>
      <c r="K294" s="5">
        <v>18.3</v>
      </c>
      <c r="L294" s="5">
        <v>17.7</v>
      </c>
      <c r="M294" s="5">
        <v>15</v>
      </c>
      <c r="N294" s="5">
        <v>51</v>
      </c>
      <c r="O294" s="5" t="str">
        <f t="shared" si="8"/>
        <v>Below 20</v>
      </c>
      <c r="P294" s="5" t="str">
        <f t="shared" si="9"/>
        <v>Not all at least 20</v>
      </c>
    </row>
    <row r="295" spans="1:16" x14ac:dyDescent="0.35">
      <c r="A295" s="5" t="s">
        <v>412</v>
      </c>
      <c r="B295" s="5" t="str">
        <f>VLOOKUP(A295,schools!A295:B2043,2,FALSE)</f>
        <v>Memphis Business Academy High School</v>
      </c>
      <c r="C295" s="5" t="str">
        <f>VLOOKUP(A295,schools!A295:F2043,5,FALSE)</f>
        <v>Memphis</v>
      </c>
      <c r="D295" s="5" t="s">
        <v>376</v>
      </c>
      <c r="E295" s="5" t="s">
        <v>18</v>
      </c>
      <c r="F295" s="5">
        <v>93</v>
      </c>
      <c r="G295" s="5">
        <v>100</v>
      </c>
      <c r="H295" s="5">
        <v>17.2</v>
      </c>
      <c r="I295" s="5">
        <v>17.7</v>
      </c>
      <c r="J295" s="5">
        <v>17.3</v>
      </c>
      <c r="K295" s="5">
        <v>17.8</v>
      </c>
      <c r="L295" s="5">
        <v>17.7</v>
      </c>
      <c r="M295" s="5">
        <v>17</v>
      </c>
      <c r="N295" s="5">
        <v>60</v>
      </c>
      <c r="O295" s="5" t="str">
        <f t="shared" si="8"/>
        <v>Below 20</v>
      </c>
      <c r="P295" s="5" t="str">
        <f t="shared" si="9"/>
        <v>Not all at least 20</v>
      </c>
    </row>
    <row r="296" spans="1:16" x14ac:dyDescent="0.35">
      <c r="A296" s="5" t="s">
        <v>413</v>
      </c>
      <c r="B296" s="5" t="str">
        <f>VLOOKUP(A296,schools!A296:B2044,2,FALSE)</f>
        <v>Soulsville Charter School</v>
      </c>
      <c r="C296" s="5" t="str">
        <f>VLOOKUP(A296,schools!A296:F2044,5,FALSE)</f>
        <v>Memphis</v>
      </c>
      <c r="D296" s="5" t="s">
        <v>376</v>
      </c>
      <c r="E296" s="5" t="s">
        <v>18</v>
      </c>
      <c r="F296" s="5">
        <v>83</v>
      </c>
      <c r="G296" s="5">
        <v>100</v>
      </c>
      <c r="H296" s="5">
        <v>19.7</v>
      </c>
      <c r="I296" s="5">
        <v>18.899999999999999</v>
      </c>
      <c r="J296" s="5">
        <v>20.100000000000001</v>
      </c>
      <c r="K296" s="5">
        <v>18.899999999999999</v>
      </c>
      <c r="L296" s="5">
        <v>19.600000000000001</v>
      </c>
      <c r="M296" s="5">
        <v>31</v>
      </c>
      <c r="N296" s="5">
        <v>33</v>
      </c>
      <c r="O296" s="5" t="str">
        <f t="shared" si="8"/>
        <v>Below 20</v>
      </c>
      <c r="P296" s="5" t="str">
        <f t="shared" si="9"/>
        <v>Not all at least 20</v>
      </c>
    </row>
    <row r="297" spans="1:16" x14ac:dyDescent="0.35">
      <c r="A297" s="5" t="s">
        <v>414</v>
      </c>
      <c r="B297" s="5" t="str">
        <f>VLOOKUP(A297,schools!A297:B2045,2,FALSE)</f>
        <v>Freedom Preparatory Academy</v>
      </c>
      <c r="C297" s="5" t="str">
        <f>VLOOKUP(A297,schools!A297:F2045,5,FALSE)</f>
        <v>Memphis</v>
      </c>
      <c r="D297" s="5" t="s">
        <v>376</v>
      </c>
      <c r="E297" s="5" t="s">
        <v>18</v>
      </c>
      <c r="F297" s="5">
        <v>58</v>
      </c>
      <c r="G297" s="5">
        <v>100</v>
      </c>
      <c r="H297" s="5">
        <v>17.3</v>
      </c>
      <c r="I297" s="5">
        <v>18.600000000000001</v>
      </c>
      <c r="J297" s="5">
        <v>18.5</v>
      </c>
      <c r="K297" s="5">
        <v>18.8</v>
      </c>
      <c r="L297" s="5">
        <v>18.5</v>
      </c>
      <c r="M297" s="5">
        <v>16</v>
      </c>
      <c r="N297" s="5">
        <v>31</v>
      </c>
      <c r="O297" s="5" t="str">
        <f t="shared" si="8"/>
        <v>Below 20</v>
      </c>
      <c r="P297" s="5" t="str">
        <f t="shared" si="9"/>
        <v>Not all at least 20</v>
      </c>
    </row>
    <row r="298" spans="1:16" x14ac:dyDescent="0.35">
      <c r="A298" s="5" t="s">
        <v>415</v>
      </c>
      <c r="B298" s="5" t="str">
        <f>VLOOKUP(A298,schools!A298:B2046,2,FALSE)</f>
        <v>Memphis School of Excellence</v>
      </c>
      <c r="C298" s="5" t="str">
        <f>VLOOKUP(A298,schools!A298:F2046,5,FALSE)</f>
        <v>Memphis</v>
      </c>
      <c r="D298" s="5" t="s">
        <v>376</v>
      </c>
      <c r="E298" s="5" t="s">
        <v>18</v>
      </c>
      <c r="F298" s="5">
        <v>52</v>
      </c>
      <c r="G298" s="5">
        <v>100</v>
      </c>
      <c r="H298" s="5">
        <v>17.7</v>
      </c>
      <c r="I298" s="5">
        <v>18.600000000000001</v>
      </c>
      <c r="J298" s="5">
        <v>18.899999999999999</v>
      </c>
      <c r="K298" s="5">
        <v>18.399999999999999</v>
      </c>
      <c r="L298" s="5">
        <v>18.600000000000001</v>
      </c>
      <c r="M298" s="5">
        <v>12</v>
      </c>
      <c r="N298" s="5">
        <v>32</v>
      </c>
      <c r="O298" s="5" t="str">
        <f t="shared" si="8"/>
        <v>Below 20</v>
      </c>
      <c r="P298" s="5" t="str">
        <f t="shared" si="9"/>
        <v>Not all at least 20</v>
      </c>
    </row>
    <row r="299" spans="1:16" x14ac:dyDescent="0.35">
      <c r="A299" s="5" t="s">
        <v>416</v>
      </c>
      <c r="B299" s="5" t="str">
        <f>VLOOKUP(A299,schools!A299:B2047,2,FALSE)</f>
        <v>The Excel Center</v>
      </c>
      <c r="C299" s="5" t="str">
        <f>VLOOKUP(A299,schools!A299:F2047,5,FALSE)</f>
        <v>Memphis</v>
      </c>
      <c r="D299" s="5" t="s">
        <v>376</v>
      </c>
      <c r="E299" s="5" t="s">
        <v>18</v>
      </c>
      <c r="F299" s="5">
        <v>2</v>
      </c>
      <c r="G299" s="5" t="s">
        <v>44</v>
      </c>
      <c r="H299" s="5" t="s">
        <v>44</v>
      </c>
      <c r="I299" s="5" t="s">
        <v>44</v>
      </c>
      <c r="J299" s="5" t="s">
        <v>44</v>
      </c>
      <c r="K299" s="5" t="s">
        <v>44</v>
      </c>
      <c r="L299" s="5" t="s">
        <v>44</v>
      </c>
      <c r="M299" s="5" t="s">
        <v>44</v>
      </c>
      <c r="N299" s="5" t="s">
        <v>44</v>
      </c>
      <c r="O299" s="5" t="str">
        <f t="shared" si="8"/>
        <v>Score Not Available</v>
      </c>
      <c r="P299" s="5" t="str">
        <f t="shared" si="9"/>
        <v>Not all at least 20</v>
      </c>
    </row>
    <row r="300" spans="1:16" x14ac:dyDescent="0.35">
      <c r="A300" s="5" t="s">
        <v>417</v>
      </c>
      <c r="B300" s="5" t="str">
        <f>VLOOKUP(A300,schools!A300:B2048,2,FALSE)</f>
        <v>Arlington High</v>
      </c>
      <c r="C300" s="5" t="str">
        <f>VLOOKUP(A300,schools!A300:F2048,5,FALSE)</f>
        <v>Arlington</v>
      </c>
      <c r="D300" s="5" t="s">
        <v>418</v>
      </c>
      <c r="E300" s="5" t="s">
        <v>18</v>
      </c>
      <c r="F300" s="5">
        <v>475</v>
      </c>
      <c r="G300" s="5">
        <v>98</v>
      </c>
      <c r="H300" s="5">
        <v>23.6</v>
      </c>
      <c r="I300" s="5">
        <v>22.2</v>
      </c>
      <c r="J300" s="5">
        <v>24.4</v>
      </c>
      <c r="K300" s="5">
        <v>23.5</v>
      </c>
      <c r="L300" s="5">
        <v>23.6</v>
      </c>
      <c r="M300" s="5">
        <v>335</v>
      </c>
      <c r="N300" s="5">
        <v>79</v>
      </c>
      <c r="O300" s="5" t="str">
        <f t="shared" si="8"/>
        <v>At least 20</v>
      </c>
      <c r="P300" s="5" t="str">
        <f t="shared" si="9"/>
        <v>All at least 20</v>
      </c>
    </row>
    <row r="301" spans="1:16" x14ac:dyDescent="0.35">
      <c r="A301" s="5" t="s">
        <v>419</v>
      </c>
      <c r="B301" s="5" t="str">
        <f>VLOOKUP(A301,schools!A301:B2049,2,FALSE)</f>
        <v>Bartlett High School</v>
      </c>
      <c r="C301" s="5" t="str">
        <f>VLOOKUP(A301,schools!A301:F2049,5,FALSE)</f>
        <v>Bartlett</v>
      </c>
      <c r="D301" s="5" t="s">
        <v>420</v>
      </c>
      <c r="E301" s="5" t="s">
        <v>18</v>
      </c>
      <c r="F301" s="5">
        <v>543</v>
      </c>
      <c r="G301" s="5">
        <v>97</v>
      </c>
      <c r="H301" s="5">
        <v>20.9</v>
      </c>
      <c r="I301" s="5">
        <v>20.100000000000001</v>
      </c>
      <c r="J301" s="5">
        <v>21.6</v>
      </c>
      <c r="K301" s="5">
        <v>21.4</v>
      </c>
      <c r="L301" s="5">
        <v>21.2</v>
      </c>
      <c r="M301" s="5">
        <v>272</v>
      </c>
      <c r="N301" s="5">
        <v>174</v>
      </c>
      <c r="O301" s="5" t="str">
        <f t="shared" si="8"/>
        <v>At least 20</v>
      </c>
      <c r="P301" s="5" t="str">
        <f t="shared" si="9"/>
        <v>All at least 20</v>
      </c>
    </row>
    <row r="302" spans="1:16" x14ac:dyDescent="0.35">
      <c r="A302" s="5" t="s">
        <v>421</v>
      </c>
      <c r="B302" s="5" t="str">
        <f>VLOOKUP(A302,schools!A302:B2050,2,FALSE)</f>
        <v>Collierville High School</v>
      </c>
      <c r="C302" s="5" t="str">
        <f>VLOOKUP(A302,schools!A302:F2050,5,FALSE)</f>
        <v>Collierville</v>
      </c>
      <c r="D302" s="5" t="s">
        <v>422</v>
      </c>
      <c r="E302" s="5" t="s">
        <v>18</v>
      </c>
      <c r="F302" s="5">
        <v>572</v>
      </c>
      <c r="G302" s="5">
        <v>100</v>
      </c>
      <c r="H302" s="5">
        <v>25.2</v>
      </c>
      <c r="I302" s="5">
        <v>24.1</v>
      </c>
      <c r="J302" s="5">
        <v>25.5</v>
      </c>
      <c r="K302" s="5">
        <v>25.1</v>
      </c>
      <c r="L302" s="5">
        <v>25.2</v>
      </c>
      <c r="M302" s="5">
        <v>462</v>
      </c>
      <c r="N302" s="5">
        <v>71</v>
      </c>
      <c r="O302" s="5" t="str">
        <f t="shared" si="8"/>
        <v>At least 20</v>
      </c>
      <c r="P302" s="5" t="str">
        <f t="shared" si="9"/>
        <v>All at least 20</v>
      </c>
    </row>
    <row r="303" spans="1:16" x14ac:dyDescent="0.35">
      <c r="A303" s="5" t="s">
        <v>423</v>
      </c>
      <c r="B303" s="5" t="str">
        <f>VLOOKUP(A303,schools!A303:B2051,2,FALSE)</f>
        <v>Houston High School</v>
      </c>
      <c r="C303" s="5" t="str">
        <f>VLOOKUP(A303,schools!A303:F2051,5,FALSE)</f>
        <v>Germantown</v>
      </c>
      <c r="D303" s="5" t="s">
        <v>424</v>
      </c>
      <c r="E303" s="5" t="s">
        <v>18</v>
      </c>
      <c r="F303" s="5">
        <v>425</v>
      </c>
      <c r="G303" s="5">
        <v>99</v>
      </c>
      <c r="H303" s="5">
        <v>26.3</v>
      </c>
      <c r="I303" s="5">
        <v>24.4</v>
      </c>
      <c r="J303" s="5">
        <v>26.9</v>
      </c>
      <c r="K303" s="5">
        <v>25.3</v>
      </c>
      <c r="L303" s="5">
        <v>25.9</v>
      </c>
      <c r="M303" s="5">
        <v>365</v>
      </c>
      <c r="N303" s="5">
        <v>25</v>
      </c>
      <c r="O303" s="5" t="str">
        <f t="shared" si="8"/>
        <v>At least 20</v>
      </c>
      <c r="P303" s="5" t="str">
        <f t="shared" si="9"/>
        <v>All at least 20</v>
      </c>
    </row>
    <row r="304" spans="1:16" x14ac:dyDescent="0.35">
      <c r="A304" s="5" t="s">
        <v>425</v>
      </c>
      <c r="B304" s="5" t="str">
        <f>VLOOKUP(A304,schools!A304:B2052,2,FALSE)</f>
        <v>Millington Central High School</v>
      </c>
      <c r="C304" s="5" t="str">
        <f>VLOOKUP(A304,schools!A304:F2052,5,FALSE)</f>
        <v>Millington</v>
      </c>
      <c r="D304" s="5" t="s">
        <v>426</v>
      </c>
      <c r="E304" s="5" t="s">
        <v>18</v>
      </c>
      <c r="F304" s="5">
        <v>194</v>
      </c>
      <c r="G304" s="5">
        <v>98</v>
      </c>
      <c r="H304" s="5">
        <v>18.399999999999999</v>
      </c>
      <c r="I304" s="5">
        <v>18.3</v>
      </c>
      <c r="J304" s="5">
        <v>19.100000000000001</v>
      </c>
      <c r="K304" s="5">
        <v>19</v>
      </c>
      <c r="L304" s="5">
        <v>18.899999999999999</v>
      </c>
      <c r="M304" s="5">
        <v>59</v>
      </c>
      <c r="N304" s="5">
        <v>98</v>
      </c>
      <c r="O304" s="5" t="str">
        <f t="shared" si="8"/>
        <v>Below 20</v>
      </c>
      <c r="P304" s="5" t="str">
        <f t="shared" si="9"/>
        <v>Not all at least 20</v>
      </c>
    </row>
    <row r="305" spans="1:16" x14ac:dyDescent="0.35">
      <c r="A305" s="5" t="s">
        <v>427</v>
      </c>
      <c r="B305" s="5" t="str">
        <f>VLOOKUP(A305,schools!A305:B2053,2,FALSE)</f>
        <v>Gordonsville High School</v>
      </c>
      <c r="C305" s="5" t="str">
        <f>VLOOKUP(A305,schools!A305:F2053,5,FALSE)</f>
        <v>Gordonsville</v>
      </c>
      <c r="D305" s="5" t="s">
        <v>428</v>
      </c>
      <c r="E305" s="5" t="s">
        <v>18</v>
      </c>
      <c r="F305" s="5">
        <v>71</v>
      </c>
      <c r="G305" s="5">
        <v>100</v>
      </c>
      <c r="H305" s="5">
        <v>19</v>
      </c>
      <c r="I305" s="5">
        <v>19.899999999999999</v>
      </c>
      <c r="J305" s="5">
        <v>20.3</v>
      </c>
      <c r="K305" s="5">
        <v>19.600000000000001</v>
      </c>
      <c r="L305" s="5">
        <v>19.8</v>
      </c>
      <c r="M305" s="5">
        <v>31</v>
      </c>
      <c r="N305" s="5">
        <v>28</v>
      </c>
      <c r="O305" s="5" t="str">
        <f t="shared" si="8"/>
        <v>Below 20</v>
      </c>
      <c r="P305" s="5" t="str">
        <f t="shared" si="9"/>
        <v>Not all at least 20</v>
      </c>
    </row>
    <row r="306" spans="1:16" x14ac:dyDescent="0.35">
      <c r="A306" s="5" t="s">
        <v>429</v>
      </c>
      <c r="B306" s="5" t="str">
        <f>VLOOKUP(A306,schools!A306:B2054,2,FALSE)</f>
        <v>Smith County High School</v>
      </c>
      <c r="C306" s="5" t="str">
        <f>VLOOKUP(A306,schools!A306:F2054,5,FALSE)</f>
        <v>Carthage</v>
      </c>
      <c r="D306" s="5" t="s">
        <v>428</v>
      </c>
      <c r="E306" s="5" t="s">
        <v>18</v>
      </c>
      <c r="F306" s="5">
        <v>146</v>
      </c>
      <c r="G306" s="5">
        <v>99</v>
      </c>
      <c r="H306" s="5">
        <v>18.3</v>
      </c>
      <c r="I306" s="5">
        <v>18.899999999999999</v>
      </c>
      <c r="J306" s="5">
        <v>19.7</v>
      </c>
      <c r="K306" s="5">
        <v>19.600000000000001</v>
      </c>
      <c r="L306" s="5">
        <v>19.3</v>
      </c>
      <c r="M306" s="5">
        <v>53</v>
      </c>
      <c r="N306" s="5">
        <v>64</v>
      </c>
      <c r="O306" s="5" t="str">
        <f t="shared" si="8"/>
        <v>Below 20</v>
      </c>
      <c r="P306" s="5" t="str">
        <f t="shared" si="9"/>
        <v>Not all at least 20</v>
      </c>
    </row>
    <row r="307" spans="1:16" x14ac:dyDescent="0.35">
      <c r="A307" s="5" t="s">
        <v>430</v>
      </c>
      <c r="B307" s="5" t="str">
        <f>VLOOKUP(A307,schools!A307:B2055,2,FALSE)</f>
        <v>Stewart Co High School</v>
      </c>
      <c r="C307" s="5" t="str">
        <f>VLOOKUP(A307,schools!A307:F2055,5,FALSE)</f>
        <v>Dover</v>
      </c>
      <c r="D307" s="5" t="s">
        <v>431</v>
      </c>
      <c r="E307" s="5" t="s">
        <v>18</v>
      </c>
      <c r="F307" s="5">
        <v>153</v>
      </c>
      <c r="G307" s="5">
        <v>99</v>
      </c>
      <c r="H307" s="5">
        <v>19.5</v>
      </c>
      <c r="I307" s="5">
        <v>19.899999999999999</v>
      </c>
      <c r="J307" s="5">
        <v>20.8</v>
      </c>
      <c r="K307" s="5">
        <v>20.8</v>
      </c>
      <c r="L307" s="5">
        <v>20.399999999999999</v>
      </c>
      <c r="M307" s="5">
        <v>68</v>
      </c>
      <c r="N307" s="5">
        <v>56</v>
      </c>
      <c r="O307" s="5" t="str">
        <f t="shared" si="8"/>
        <v>At least 20</v>
      </c>
      <c r="P307" s="5" t="str">
        <f t="shared" si="9"/>
        <v>Not all at least 20</v>
      </c>
    </row>
    <row r="308" spans="1:16" x14ac:dyDescent="0.35">
      <c r="A308" s="5" t="s">
        <v>432</v>
      </c>
      <c r="B308" s="5" t="str">
        <f>VLOOKUP(A308,schools!A308:B2056,2,FALSE)</f>
        <v>Sullivan Central High School</v>
      </c>
      <c r="C308" s="5" t="str">
        <f>VLOOKUP(A308,schools!A308:F2056,5,FALSE)</f>
        <v>Blountville</v>
      </c>
      <c r="D308" s="5" t="s">
        <v>433</v>
      </c>
      <c r="E308" s="5" t="s">
        <v>18</v>
      </c>
      <c r="F308" s="5">
        <v>211</v>
      </c>
      <c r="G308" s="5">
        <v>99</v>
      </c>
      <c r="H308" s="5">
        <v>19.100000000000001</v>
      </c>
      <c r="I308" s="5">
        <v>19.5</v>
      </c>
      <c r="J308" s="5">
        <v>20.5</v>
      </c>
      <c r="K308" s="5">
        <v>20.3</v>
      </c>
      <c r="L308" s="5">
        <v>20</v>
      </c>
      <c r="M308" s="5">
        <v>97</v>
      </c>
      <c r="N308" s="5">
        <v>89</v>
      </c>
      <c r="O308" s="5" t="str">
        <f t="shared" si="8"/>
        <v>At least 20</v>
      </c>
      <c r="P308" s="5" t="str">
        <f t="shared" si="9"/>
        <v>Not all at least 20</v>
      </c>
    </row>
    <row r="309" spans="1:16" x14ac:dyDescent="0.35">
      <c r="A309" s="5" t="s">
        <v>434</v>
      </c>
      <c r="B309" s="5" t="str">
        <f>VLOOKUP(A309,schools!A309:B2057,2,FALSE)</f>
        <v>Sullivan East High School</v>
      </c>
      <c r="C309" s="5" t="str">
        <f>VLOOKUP(A309,schools!A309:F2057,5,FALSE)</f>
        <v>Bluff City</v>
      </c>
      <c r="D309" s="5" t="s">
        <v>433</v>
      </c>
      <c r="E309" s="5" t="s">
        <v>18</v>
      </c>
      <c r="F309" s="5">
        <v>207</v>
      </c>
      <c r="G309" s="5">
        <v>100</v>
      </c>
      <c r="H309" s="5">
        <v>20.2</v>
      </c>
      <c r="I309" s="5">
        <v>19.8</v>
      </c>
      <c r="J309" s="5">
        <v>21.4</v>
      </c>
      <c r="K309" s="5">
        <v>20.2</v>
      </c>
      <c r="L309" s="5">
        <v>20.6</v>
      </c>
      <c r="M309" s="5">
        <v>101</v>
      </c>
      <c r="N309" s="5">
        <v>75</v>
      </c>
      <c r="O309" s="5" t="str">
        <f t="shared" si="8"/>
        <v>At least 20</v>
      </c>
      <c r="P309" s="5" t="str">
        <f t="shared" si="9"/>
        <v>Not all at least 20</v>
      </c>
    </row>
    <row r="310" spans="1:16" x14ac:dyDescent="0.35">
      <c r="A310" s="5" t="s">
        <v>435</v>
      </c>
      <c r="B310" s="5" t="str">
        <f>VLOOKUP(A310,schools!A310:B2058,2,FALSE)</f>
        <v>Sullivan North High School</v>
      </c>
      <c r="C310" s="5" t="str">
        <f>VLOOKUP(A310,schools!A310:F2058,5,FALSE)</f>
        <v>Kingsport</v>
      </c>
      <c r="D310" s="5" t="s">
        <v>433</v>
      </c>
      <c r="E310" s="5" t="s">
        <v>18</v>
      </c>
      <c r="F310" s="5">
        <v>123</v>
      </c>
      <c r="G310" s="5">
        <v>98</v>
      </c>
      <c r="H310" s="5">
        <v>16.7</v>
      </c>
      <c r="I310" s="5">
        <v>17.8</v>
      </c>
      <c r="J310" s="5">
        <v>18.899999999999999</v>
      </c>
      <c r="K310" s="5">
        <v>18.899999999999999</v>
      </c>
      <c r="L310" s="5">
        <v>18</v>
      </c>
      <c r="M310" s="5">
        <v>27</v>
      </c>
      <c r="N310" s="5">
        <v>77</v>
      </c>
      <c r="O310" s="5" t="str">
        <f t="shared" si="8"/>
        <v>Below 20</v>
      </c>
      <c r="P310" s="5" t="str">
        <f t="shared" si="9"/>
        <v>Not all at least 20</v>
      </c>
    </row>
    <row r="311" spans="1:16" x14ac:dyDescent="0.35">
      <c r="A311" s="5" t="s">
        <v>436</v>
      </c>
      <c r="B311" s="5" t="str">
        <f>VLOOKUP(A311,schools!A311:B2059,2,FALSE)</f>
        <v>Sullivan South High School</v>
      </c>
      <c r="C311" s="5" t="str">
        <f>VLOOKUP(A311,schools!A311:F2059,5,FALSE)</f>
        <v>Kingsport</v>
      </c>
      <c r="D311" s="5" t="s">
        <v>433</v>
      </c>
      <c r="E311" s="5" t="s">
        <v>18</v>
      </c>
      <c r="F311" s="5">
        <v>212</v>
      </c>
      <c r="G311" s="5">
        <v>99</v>
      </c>
      <c r="H311" s="5">
        <v>20.7</v>
      </c>
      <c r="I311" s="5">
        <v>21</v>
      </c>
      <c r="J311" s="5">
        <v>22.4</v>
      </c>
      <c r="K311" s="5">
        <v>21.6</v>
      </c>
      <c r="L311" s="5">
        <v>21.6</v>
      </c>
      <c r="M311" s="5">
        <v>103</v>
      </c>
      <c r="N311" s="5">
        <v>77</v>
      </c>
      <c r="O311" s="5" t="str">
        <f t="shared" si="8"/>
        <v>At least 20</v>
      </c>
      <c r="P311" s="5" t="str">
        <f t="shared" si="9"/>
        <v>All at least 20</v>
      </c>
    </row>
    <row r="312" spans="1:16" x14ac:dyDescent="0.35">
      <c r="A312" s="5" t="s">
        <v>437</v>
      </c>
      <c r="B312" s="5" t="str">
        <f>VLOOKUP(A312,schools!A312:B2060,2,FALSE)</f>
        <v>Tennessee High School</v>
      </c>
      <c r="C312" s="5" t="str">
        <f>VLOOKUP(A312,schools!A312:F2060,5,FALSE)</f>
        <v>Bristol</v>
      </c>
      <c r="D312" s="5" t="s">
        <v>438</v>
      </c>
      <c r="E312" s="5" t="s">
        <v>18</v>
      </c>
      <c r="F312" s="5">
        <v>276</v>
      </c>
      <c r="G312" s="5">
        <v>99</v>
      </c>
      <c r="H312" s="5">
        <v>21.3</v>
      </c>
      <c r="I312" s="5">
        <v>20.399999999999999</v>
      </c>
      <c r="J312" s="5">
        <v>21.8</v>
      </c>
      <c r="K312" s="5">
        <v>21.1</v>
      </c>
      <c r="L312" s="5">
        <v>21.3</v>
      </c>
      <c r="M312" s="5">
        <v>139</v>
      </c>
      <c r="N312" s="5">
        <v>101</v>
      </c>
      <c r="O312" s="5" t="str">
        <f t="shared" si="8"/>
        <v>At least 20</v>
      </c>
      <c r="P312" s="5" t="str">
        <f t="shared" si="9"/>
        <v>All at least 20</v>
      </c>
    </row>
    <row r="313" spans="1:16" x14ac:dyDescent="0.35">
      <c r="A313" s="5" t="s">
        <v>439</v>
      </c>
      <c r="B313" s="5" t="str">
        <f>VLOOKUP(A313,schools!A313:B2061,2,FALSE)</f>
        <v>Tennessee Online Public School</v>
      </c>
      <c r="C313" s="5" t="str">
        <f>VLOOKUP(A313,schools!A313:F2061,5,FALSE)</f>
        <v>Bristol</v>
      </c>
      <c r="D313" s="5" t="s">
        <v>438</v>
      </c>
      <c r="E313" s="5" t="s">
        <v>18</v>
      </c>
      <c r="F313" s="5">
        <v>77</v>
      </c>
      <c r="G313" s="5">
        <v>95</v>
      </c>
      <c r="H313" s="5">
        <v>20.9</v>
      </c>
      <c r="I313" s="5">
        <v>19.399999999999999</v>
      </c>
      <c r="J313" s="5">
        <v>22.6</v>
      </c>
      <c r="K313" s="5">
        <v>20.9</v>
      </c>
      <c r="L313" s="5">
        <v>21.1</v>
      </c>
      <c r="M313" s="5">
        <v>40</v>
      </c>
      <c r="N313" s="5">
        <v>23</v>
      </c>
      <c r="O313" s="5" t="str">
        <f t="shared" si="8"/>
        <v>At least 20</v>
      </c>
      <c r="P313" s="5" t="str">
        <f t="shared" si="9"/>
        <v>Not all at least 20</v>
      </c>
    </row>
    <row r="314" spans="1:16" x14ac:dyDescent="0.35">
      <c r="A314" s="5" t="s">
        <v>440</v>
      </c>
      <c r="B314" s="5" t="str">
        <f>VLOOKUP(A314,schools!A314:B2062,2,FALSE)</f>
        <v>Dobyns - Bennett High School</v>
      </c>
      <c r="C314" s="5" t="str">
        <f>VLOOKUP(A314,schools!A314:F2062,5,FALSE)</f>
        <v>Kingsport</v>
      </c>
      <c r="D314" s="5" t="s">
        <v>441</v>
      </c>
      <c r="E314" s="5" t="s">
        <v>18</v>
      </c>
      <c r="F314" s="5">
        <v>506</v>
      </c>
      <c r="G314" s="5">
        <v>98</v>
      </c>
      <c r="H314" s="5">
        <v>21.2</v>
      </c>
      <c r="I314" s="5">
        <v>21.9</v>
      </c>
      <c r="J314" s="5">
        <v>22.3</v>
      </c>
      <c r="K314" s="5">
        <v>21.8</v>
      </c>
      <c r="L314" s="5">
        <v>22</v>
      </c>
      <c r="M314" s="5">
        <v>288</v>
      </c>
      <c r="N314" s="5">
        <v>167</v>
      </c>
      <c r="O314" s="5" t="str">
        <f t="shared" si="8"/>
        <v>At least 20</v>
      </c>
      <c r="P314" s="5" t="str">
        <f t="shared" si="9"/>
        <v>All at least 20</v>
      </c>
    </row>
    <row r="315" spans="1:16" x14ac:dyDescent="0.35">
      <c r="A315" s="5" t="s">
        <v>442</v>
      </c>
      <c r="B315" s="5" t="str">
        <f>VLOOKUP(A315,schools!A315:B2063,2,FALSE)</f>
        <v>Beech Sr High School</v>
      </c>
      <c r="C315" s="5" t="str">
        <f>VLOOKUP(A315,schools!A315:F2063,5,FALSE)</f>
        <v>Hendersonville</v>
      </c>
      <c r="D315" s="5" t="s">
        <v>443</v>
      </c>
      <c r="E315" s="5" t="s">
        <v>18</v>
      </c>
      <c r="F315" s="5">
        <v>285</v>
      </c>
      <c r="G315" s="5">
        <v>98</v>
      </c>
      <c r="H315" s="5">
        <v>21</v>
      </c>
      <c r="I315" s="5">
        <v>20.100000000000001</v>
      </c>
      <c r="J315" s="5">
        <v>21.6</v>
      </c>
      <c r="K315" s="5">
        <v>21.2</v>
      </c>
      <c r="L315" s="5">
        <v>21.1</v>
      </c>
      <c r="M315" s="5">
        <v>148</v>
      </c>
      <c r="N315" s="5">
        <v>97</v>
      </c>
      <c r="O315" s="5" t="str">
        <f t="shared" si="8"/>
        <v>At least 20</v>
      </c>
      <c r="P315" s="5" t="str">
        <f t="shared" si="9"/>
        <v>All at least 20</v>
      </c>
    </row>
    <row r="316" spans="1:16" x14ac:dyDescent="0.35">
      <c r="A316" s="5" t="s">
        <v>444</v>
      </c>
      <c r="B316" s="5" t="str">
        <f>VLOOKUP(A316,schools!A316:B2064,2,FALSE)</f>
        <v>Gallatin Senior High School</v>
      </c>
      <c r="C316" s="5" t="str">
        <f>VLOOKUP(A316,schools!A316:F2064,5,FALSE)</f>
        <v>Gallatin</v>
      </c>
      <c r="D316" s="5" t="s">
        <v>443</v>
      </c>
      <c r="E316" s="5" t="s">
        <v>18</v>
      </c>
      <c r="F316" s="5">
        <v>319</v>
      </c>
      <c r="G316" s="5">
        <v>91</v>
      </c>
      <c r="H316" s="5">
        <v>19.2</v>
      </c>
      <c r="I316" s="5">
        <v>19.2</v>
      </c>
      <c r="J316" s="5">
        <v>20.2</v>
      </c>
      <c r="K316" s="5">
        <v>19.899999999999999</v>
      </c>
      <c r="L316" s="5">
        <v>19.8</v>
      </c>
      <c r="M316" s="5">
        <v>119</v>
      </c>
      <c r="N316" s="5">
        <v>130</v>
      </c>
      <c r="O316" s="5" t="str">
        <f t="shared" si="8"/>
        <v>Below 20</v>
      </c>
      <c r="P316" s="5" t="str">
        <f t="shared" si="9"/>
        <v>Not all at least 20</v>
      </c>
    </row>
    <row r="317" spans="1:16" x14ac:dyDescent="0.35">
      <c r="A317" s="5" t="s">
        <v>445</v>
      </c>
      <c r="B317" s="5" t="str">
        <f>VLOOKUP(A317,schools!A317:B2065,2,FALSE)</f>
        <v>Hendersonville High School</v>
      </c>
      <c r="C317" s="5" t="str">
        <f>VLOOKUP(A317,schools!A317:F2065,5,FALSE)</f>
        <v>Hendersonville</v>
      </c>
      <c r="D317" s="5" t="s">
        <v>443</v>
      </c>
      <c r="E317" s="5" t="s">
        <v>18</v>
      </c>
      <c r="F317" s="5">
        <v>348</v>
      </c>
      <c r="G317" s="5">
        <v>97</v>
      </c>
      <c r="H317" s="5">
        <v>22.5</v>
      </c>
      <c r="I317" s="5">
        <v>21.2</v>
      </c>
      <c r="J317" s="5">
        <v>23.3</v>
      </c>
      <c r="K317" s="5">
        <v>22.6</v>
      </c>
      <c r="L317" s="5">
        <v>22.5</v>
      </c>
      <c r="M317" s="5">
        <v>220</v>
      </c>
      <c r="N317" s="5">
        <v>76</v>
      </c>
      <c r="O317" s="5" t="str">
        <f t="shared" si="8"/>
        <v>At least 20</v>
      </c>
      <c r="P317" s="5" t="str">
        <f t="shared" si="9"/>
        <v>All at least 20</v>
      </c>
    </row>
    <row r="318" spans="1:16" x14ac:dyDescent="0.35">
      <c r="A318" s="5" t="s">
        <v>446</v>
      </c>
      <c r="B318" s="5" t="str">
        <f>VLOOKUP(A318,schools!A318:B2066,2,FALSE)</f>
        <v>Merrol Hyde Magnet School</v>
      </c>
      <c r="C318" s="5" t="str">
        <f>VLOOKUP(A318,schools!A318:F2066,5,FALSE)</f>
        <v>Hendersonville</v>
      </c>
      <c r="D318" s="5" t="s">
        <v>443</v>
      </c>
      <c r="E318" s="5" t="s">
        <v>18</v>
      </c>
      <c r="F318" s="5">
        <v>49</v>
      </c>
      <c r="G318" s="5">
        <v>100</v>
      </c>
      <c r="H318" s="5">
        <v>32</v>
      </c>
      <c r="I318" s="5">
        <v>28.4</v>
      </c>
      <c r="J318" s="5">
        <v>32.200000000000003</v>
      </c>
      <c r="K318" s="5">
        <v>29.6</v>
      </c>
      <c r="L318" s="5">
        <v>30.7</v>
      </c>
      <c r="M318" s="5" t="s">
        <v>41</v>
      </c>
      <c r="N318" s="5" t="s">
        <v>41</v>
      </c>
      <c r="O318" s="5" t="str">
        <f t="shared" si="8"/>
        <v>At least 20</v>
      </c>
      <c r="P318" s="5" t="str">
        <f t="shared" si="9"/>
        <v>All at least 20</v>
      </c>
    </row>
    <row r="319" spans="1:16" x14ac:dyDescent="0.35">
      <c r="A319" s="5" t="s">
        <v>447</v>
      </c>
      <c r="B319" s="5" t="str">
        <f>VLOOKUP(A319,schools!A319:B2067,2,FALSE)</f>
        <v>Portland High School</v>
      </c>
      <c r="C319" s="5" t="str">
        <f>VLOOKUP(A319,schools!A319:F2067,5,FALSE)</f>
        <v>Portland</v>
      </c>
      <c r="D319" s="5" t="s">
        <v>443</v>
      </c>
      <c r="E319" s="5" t="s">
        <v>18</v>
      </c>
      <c r="F319" s="5">
        <v>234</v>
      </c>
      <c r="G319" s="5">
        <v>99</v>
      </c>
      <c r="H319" s="5">
        <v>19.3</v>
      </c>
      <c r="I319" s="5">
        <v>18.7</v>
      </c>
      <c r="J319" s="5">
        <v>20.399999999999999</v>
      </c>
      <c r="K319" s="5">
        <v>19.7</v>
      </c>
      <c r="L319" s="5">
        <v>19.7</v>
      </c>
      <c r="M319" s="5">
        <v>88</v>
      </c>
      <c r="N319" s="5">
        <v>110</v>
      </c>
      <c r="O319" s="5" t="str">
        <f t="shared" si="8"/>
        <v>Below 20</v>
      </c>
      <c r="P319" s="5" t="str">
        <f t="shared" si="9"/>
        <v>Not all at least 20</v>
      </c>
    </row>
    <row r="320" spans="1:16" x14ac:dyDescent="0.35">
      <c r="A320" s="5" t="s">
        <v>448</v>
      </c>
      <c r="B320" s="5" t="str">
        <f>VLOOKUP(A320,schools!A320:B2068,2,FALSE)</f>
        <v>E B Wilson</v>
      </c>
      <c r="C320" s="5" t="str">
        <f>VLOOKUP(A320,schools!A320:F2068,5,FALSE)</f>
        <v>Gallatin</v>
      </c>
      <c r="D320" s="5" t="s">
        <v>443</v>
      </c>
      <c r="E320" s="5" t="s">
        <v>18</v>
      </c>
      <c r="F320" s="5">
        <v>55</v>
      </c>
      <c r="G320" s="5">
        <v>86</v>
      </c>
      <c r="H320" s="5">
        <v>18.7</v>
      </c>
      <c r="I320" s="5">
        <v>17.600000000000001</v>
      </c>
      <c r="J320" s="5">
        <v>20.2</v>
      </c>
      <c r="K320" s="5">
        <v>18.7</v>
      </c>
      <c r="L320" s="5">
        <v>18.899999999999999</v>
      </c>
      <c r="M320" s="5">
        <v>17</v>
      </c>
      <c r="N320" s="5">
        <v>30</v>
      </c>
      <c r="O320" s="5" t="str">
        <f t="shared" si="8"/>
        <v>Below 20</v>
      </c>
      <c r="P320" s="5" t="str">
        <f t="shared" si="9"/>
        <v>Not all at least 20</v>
      </c>
    </row>
    <row r="321" spans="1:16" x14ac:dyDescent="0.35">
      <c r="A321" s="5" t="s">
        <v>449</v>
      </c>
      <c r="B321" s="5" t="str">
        <f>VLOOKUP(A321,schools!A321:B2069,2,FALSE)</f>
        <v>Station Camp High School</v>
      </c>
      <c r="C321" s="5" t="str">
        <f>VLOOKUP(A321,schools!A321:F2069,5,FALSE)</f>
        <v>Gallatin</v>
      </c>
      <c r="D321" s="5" t="s">
        <v>443</v>
      </c>
      <c r="E321" s="5" t="s">
        <v>18</v>
      </c>
      <c r="F321" s="5">
        <v>390</v>
      </c>
      <c r="G321" s="5">
        <v>96</v>
      </c>
      <c r="H321" s="5">
        <v>21</v>
      </c>
      <c r="I321" s="5">
        <v>20.7</v>
      </c>
      <c r="J321" s="5">
        <v>22.2</v>
      </c>
      <c r="K321" s="5">
        <v>21.9</v>
      </c>
      <c r="L321" s="5">
        <v>21.6</v>
      </c>
      <c r="M321" s="5">
        <v>216</v>
      </c>
      <c r="N321" s="5">
        <v>114</v>
      </c>
      <c r="O321" s="5" t="str">
        <f t="shared" si="8"/>
        <v>At least 20</v>
      </c>
      <c r="P321" s="5" t="str">
        <f t="shared" si="9"/>
        <v>All at least 20</v>
      </c>
    </row>
    <row r="322" spans="1:16" x14ac:dyDescent="0.35">
      <c r="A322" s="5" t="s">
        <v>450</v>
      </c>
      <c r="B322" s="5" t="str">
        <f>VLOOKUP(A322,schools!A322:B2070,2,FALSE)</f>
        <v>Westmoreland High School</v>
      </c>
      <c r="C322" s="5" t="str">
        <f>VLOOKUP(A322,schools!A322:F2070,5,FALSE)</f>
        <v>Westmoreland</v>
      </c>
      <c r="D322" s="5" t="s">
        <v>443</v>
      </c>
      <c r="E322" s="5" t="s">
        <v>18</v>
      </c>
      <c r="F322" s="5">
        <v>105</v>
      </c>
      <c r="G322" s="5">
        <v>92</v>
      </c>
      <c r="H322" s="5">
        <v>21.7</v>
      </c>
      <c r="I322" s="5">
        <v>21</v>
      </c>
      <c r="J322" s="5">
        <v>22.6</v>
      </c>
      <c r="K322" s="5">
        <v>21.3</v>
      </c>
      <c r="L322" s="5">
        <v>21.7</v>
      </c>
      <c r="M322" s="5">
        <v>50</v>
      </c>
      <c r="N322" s="5">
        <v>28</v>
      </c>
      <c r="O322" s="5" t="str">
        <f t="shared" si="8"/>
        <v>At least 20</v>
      </c>
      <c r="P322" s="5" t="str">
        <f t="shared" si="9"/>
        <v>All at least 20</v>
      </c>
    </row>
    <row r="323" spans="1:16" x14ac:dyDescent="0.35">
      <c r="A323" s="5" t="s">
        <v>451</v>
      </c>
      <c r="B323" s="5" t="str">
        <f>VLOOKUP(A323,schools!A323:B2071,2,FALSE)</f>
        <v>White House High School</v>
      </c>
      <c r="C323" s="5" t="str">
        <f>VLOOKUP(A323,schools!A323:F2071,5,FALSE)</f>
        <v>White House</v>
      </c>
      <c r="D323" s="5" t="s">
        <v>443</v>
      </c>
      <c r="E323" s="5" t="s">
        <v>18</v>
      </c>
      <c r="F323" s="5">
        <v>190</v>
      </c>
      <c r="G323" s="5">
        <v>95</v>
      </c>
      <c r="H323" s="5">
        <v>21.6</v>
      </c>
      <c r="I323" s="5">
        <v>20.100000000000001</v>
      </c>
      <c r="J323" s="5">
        <v>22.5</v>
      </c>
      <c r="K323" s="5">
        <v>21.8</v>
      </c>
      <c r="L323" s="5">
        <v>21.6</v>
      </c>
      <c r="M323" s="5">
        <v>101</v>
      </c>
      <c r="N323" s="5">
        <v>60</v>
      </c>
      <c r="O323" s="5" t="str">
        <f t="shared" ref="O323:O368" si="10">IFERROR(VLOOKUP(L323,$Q$2:$S$4,3,TRUE), "Score Not Available")</f>
        <v>At least 20</v>
      </c>
      <c r="P323" s="5" t="str">
        <f t="shared" ref="P323:P368" si="11">IFERROR(IF(MIN(H323,I323,J323,K323)&gt;20,"All at least 20", "Not all at least 20"),"Scores Not Available")</f>
        <v>All at least 20</v>
      </c>
    </row>
    <row r="324" spans="1:16" x14ac:dyDescent="0.35">
      <c r="A324" s="5" t="s">
        <v>452</v>
      </c>
      <c r="B324" s="5" t="str">
        <f>VLOOKUP(A324,schools!A324:B2072,2,FALSE)</f>
        <v>Sumner County Middle College High School</v>
      </c>
      <c r="C324" s="5" t="str">
        <f>VLOOKUP(A324,schools!A324:F2072,5,FALSE)</f>
        <v>Gallatin</v>
      </c>
      <c r="D324" s="5" t="s">
        <v>443</v>
      </c>
      <c r="E324" s="5" t="s">
        <v>18</v>
      </c>
      <c r="F324" s="5">
        <v>28</v>
      </c>
      <c r="G324" s="5">
        <v>90</v>
      </c>
      <c r="H324" s="5">
        <v>27.9</v>
      </c>
      <c r="I324" s="5">
        <v>24.5</v>
      </c>
      <c r="J324" s="5">
        <v>28.1</v>
      </c>
      <c r="K324" s="5">
        <v>25.1</v>
      </c>
      <c r="L324" s="5">
        <v>26.5</v>
      </c>
      <c r="M324" s="5" t="s">
        <v>41</v>
      </c>
      <c r="N324" s="5" t="s">
        <v>41</v>
      </c>
      <c r="O324" s="5" t="str">
        <f t="shared" si="10"/>
        <v>At least 20</v>
      </c>
      <c r="P324" s="5" t="str">
        <f t="shared" si="11"/>
        <v>All at least 20</v>
      </c>
    </row>
    <row r="325" spans="1:16" x14ac:dyDescent="0.35">
      <c r="A325" s="5" t="s">
        <v>453</v>
      </c>
      <c r="B325" s="5" t="str">
        <f>VLOOKUP(A325,schools!A325:B2073,2,FALSE)</f>
        <v>Brighton High School</v>
      </c>
      <c r="C325" s="5" t="str">
        <f>VLOOKUP(A325,schools!A325:F2073,5,FALSE)</f>
        <v>Brighton</v>
      </c>
      <c r="D325" s="5" t="s">
        <v>454</v>
      </c>
      <c r="E325" s="5" t="s">
        <v>18</v>
      </c>
      <c r="F325" s="5">
        <v>304</v>
      </c>
      <c r="G325" s="5">
        <v>99</v>
      </c>
      <c r="H325" s="5">
        <v>20.9</v>
      </c>
      <c r="I325" s="5">
        <v>20.3</v>
      </c>
      <c r="J325" s="5">
        <v>21.3</v>
      </c>
      <c r="K325" s="5">
        <v>21.4</v>
      </c>
      <c r="L325" s="5">
        <v>21.2</v>
      </c>
      <c r="M325" s="5">
        <v>160</v>
      </c>
      <c r="N325" s="5">
        <v>98</v>
      </c>
      <c r="O325" s="5" t="str">
        <f t="shared" si="10"/>
        <v>At least 20</v>
      </c>
      <c r="P325" s="5" t="str">
        <f t="shared" si="11"/>
        <v>All at least 20</v>
      </c>
    </row>
    <row r="326" spans="1:16" x14ac:dyDescent="0.35">
      <c r="A326" s="5" t="s">
        <v>455</v>
      </c>
      <c r="B326" s="5" t="str">
        <f>VLOOKUP(A326,schools!A326:B2074,2,FALSE)</f>
        <v>Covington High School</v>
      </c>
      <c r="C326" s="5" t="str">
        <f>VLOOKUP(A326,schools!A326:F2074,5,FALSE)</f>
        <v>Covington</v>
      </c>
      <c r="D326" s="5" t="s">
        <v>454</v>
      </c>
      <c r="E326" s="5" t="s">
        <v>18</v>
      </c>
      <c r="F326" s="5">
        <v>193</v>
      </c>
      <c r="G326" s="5">
        <v>90</v>
      </c>
      <c r="H326" s="5">
        <v>20</v>
      </c>
      <c r="I326" s="5">
        <v>20.2</v>
      </c>
      <c r="J326" s="5">
        <v>19.100000000000001</v>
      </c>
      <c r="K326" s="5">
        <v>19.399999999999999</v>
      </c>
      <c r="L326" s="5">
        <v>19.8</v>
      </c>
      <c r="M326" s="5">
        <v>81</v>
      </c>
      <c r="N326" s="5">
        <v>79</v>
      </c>
      <c r="O326" s="5" t="str">
        <f t="shared" si="10"/>
        <v>Below 20</v>
      </c>
      <c r="P326" s="5" t="str">
        <f t="shared" si="11"/>
        <v>Not all at least 20</v>
      </c>
    </row>
    <row r="327" spans="1:16" x14ac:dyDescent="0.35">
      <c r="A327" s="5" t="s">
        <v>456</v>
      </c>
      <c r="B327" s="5" t="str">
        <f>VLOOKUP(A327,schools!A327:B2075,2,FALSE)</f>
        <v>Munford High School</v>
      </c>
      <c r="C327" s="5" t="str">
        <f>VLOOKUP(A327,schools!A327:F2075,5,FALSE)</f>
        <v>Munford</v>
      </c>
      <c r="D327" s="5" t="s">
        <v>454</v>
      </c>
      <c r="E327" s="5" t="s">
        <v>18</v>
      </c>
      <c r="F327" s="5">
        <v>283</v>
      </c>
      <c r="G327" s="5">
        <v>96</v>
      </c>
      <c r="H327" s="5">
        <v>20.9</v>
      </c>
      <c r="I327" s="5">
        <v>20.5</v>
      </c>
      <c r="J327" s="5">
        <v>21.3</v>
      </c>
      <c r="K327" s="5">
        <v>21.5</v>
      </c>
      <c r="L327" s="5">
        <v>21.2</v>
      </c>
      <c r="M327" s="5">
        <v>144</v>
      </c>
      <c r="N327" s="5">
        <v>84</v>
      </c>
      <c r="O327" s="5" t="str">
        <f t="shared" si="10"/>
        <v>At least 20</v>
      </c>
      <c r="P327" s="5" t="str">
        <f t="shared" si="11"/>
        <v>All at least 20</v>
      </c>
    </row>
    <row r="328" spans="1:16" x14ac:dyDescent="0.35">
      <c r="A328" s="5" t="s">
        <v>457</v>
      </c>
      <c r="B328" s="5" t="str">
        <f>VLOOKUP(A328,schools!A328:B2076,2,FALSE)</f>
        <v>Trousdale Co High School</v>
      </c>
      <c r="C328" s="5" t="str">
        <f>VLOOKUP(A328,schools!A328:F2076,5,FALSE)</f>
        <v>Hartsville</v>
      </c>
      <c r="D328" s="5" t="s">
        <v>458</v>
      </c>
      <c r="E328" s="5" t="s">
        <v>18</v>
      </c>
      <c r="F328" s="5">
        <v>78</v>
      </c>
      <c r="G328" s="5">
        <v>100</v>
      </c>
      <c r="H328" s="5">
        <v>19.100000000000001</v>
      </c>
      <c r="I328" s="5">
        <v>19.399999999999999</v>
      </c>
      <c r="J328" s="5">
        <v>19.8</v>
      </c>
      <c r="K328" s="5">
        <v>20.100000000000001</v>
      </c>
      <c r="L328" s="5">
        <v>19.7</v>
      </c>
      <c r="M328" s="5">
        <v>30</v>
      </c>
      <c r="N328" s="5">
        <v>36</v>
      </c>
      <c r="O328" s="5" t="str">
        <f t="shared" si="10"/>
        <v>Below 20</v>
      </c>
      <c r="P328" s="5" t="str">
        <f t="shared" si="11"/>
        <v>Not all at least 20</v>
      </c>
    </row>
    <row r="329" spans="1:16" x14ac:dyDescent="0.35">
      <c r="A329" s="5" t="s">
        <v>459</v>
      </c>
      <c r="B329" s="5" t="str">
        <f>VLOOKUP(A329,schools!A329:B2077,2,FALSE)</f>
        <v>Unicoi Co High School</v>
      </c>
      <c r="C329" s="5" t="str">
        <f>VLOOKUP(A329,schools!A329:F2077,5,FALSE)</f>
        <v>Erwin</v>
      </c>
      <c r="D329" s="5" t="s">
        <v>460</v>
      </c>
      <c r="E329" s="5" t="s">
        <v>18</v>
      </c>
      <c r="F329" s="5">
        <v>162</v>
      </c>
      <c r="G329" s="5">
        <v>96</v>
      </c>
      <c r="H329" s="5">
        <v>19.399999999999999</v>
      </c>
      <c r="I329" s="5">
        <v>19.399999999999999</v>
      </c>
      <c r="J329" s="5">
        <v>20.5</v>
      </c>
      <c r="K329" s="5">
        <v>19.7</v>
      </c>
      <c r="L329" s="5">
        <v>19.899999999999999</v>
      </c>
      <c r="M329" s="5">
        <v>71</v>
      </c>
      <c r="N329" s="5">
        <v>71</v>
      </c>
      <c r="O329" s="5" t="str">
        <f t="shared" si="10"/>
        <v>Below 20</v>
      </c>
      <c r="P329" s="5" t="str">
        <f t="shared" si="11"/>
        <v>Not all at least 20</v>
      </c>
    </row>
    <row r="330" spans="1:16" x14ac:dyDescent="0.35">
      <c r="A330" s="5" t="s">
        <v>461</v>
      </c>
      <c r="B330" s="5" t="str">
        <f>VLOOKUP(A330,schools!A330:B2078,2,FALSE)</f>
        <v>Union County High School</v>
      </c>
      <c r="C330" s="5" t="str">
        <f>VLOOKUP(A330,schools!A330:F2078,5,FALSE)</f>
        <v>Maynardville</v>
      </c>
      <c r="D330" s="5" t="s">
        <v>462</v>
      </c>
      <c r="E330" s="5" t="s">
        <v>18</v>
      </c>
      <c r="F330" s="5">
        <v>170</v>
      </c>
      <c r="G330" s="5">
        <v>99</v>
      </c>
      <c r="H330" s="5">
        <v>17</v>
      </c>
      <c r="I330" s="5">
        <v>17</v>
      </c>
      <c r="J330" s="5">
        <v>18</v>
      </c>
      <c r="K330" s="5">
        <v>17.600000000000001</v>
      </c>
      <c r="L330" s="5">
        <v>17.600000000000001</v>
      </c>
      <c r="M330" s="5">
        <v>35</v>
      </c>
      <c r="N330" s="5">
        <v>109</v>
      </c>
      <c r="O330" s="5" t="str">
        <f t="shared" si="10"/>
        <v>Below 20</v>
      </c>
      <c r="P330" s="5" t="str">
        <f t="shared" si="11"/>
        <v>Not all at least 20</v>
      </c>
    </row>
    <row r="331" spans="1:16" x14ac:dyDescent="0.35">
      <c r="A331" s="5" t="s">
        <v>463</v>
      </c>
      <c r="B331" s="5" t="str">
        <f>VLOOKUP(A331,schools!A331:B2079,2,FALSE)</f>
        <v>Van Buren Co High School</v>
      </c>
      <c r="C331" s="5" t="str">
        <f>VLOOKUP(A331,schools!A331:F2079,5,FALSE)</f>
        <v>Spencer</v>
      </c>
      <c r="D331" s="5" t="s">
        <v>464</v>
      </c>
      <c r="E331" s="5" t="s">
        <v>18</v>
      </c>
      <c r="F331" s="5">
        <v>55</v>
      </c>
      <c r="G331" s="5">
        <v>98</v>
      </c>
      <c r="H331" s="5">
        <v>16.5</v>
      </c>
      <c r="I331" s="5">
        <v>17.100000000000001</v>
      </c>
      <c r="J331" s="5">
        <v>17.5</v>
      </c>
      <c r="K331" s="5">
        <v>17.2</v>
      </c>
      <c r="L331" s="5">
        <v>17.2</v>
      </c>
      <c r="M331" s="5">
        <v>11</v>
      </c>
      <c r="N331" s="5">
        <v>37</v>
      </c>
      <c r="O331" s="5" t="str">
        <f t="shared" si="10"/>
        <v>Below 20</v>
      </c>
      <c r="P331" s="5" t="str">
        <f t="shared" si="11"/>
        <v>Not all at least 20</v>
      </c>
    </row>
    <row r="332" spans="1:16" x14ac:dyDescent="0.35">
      <c r="A332" s="5" t="s">
        <v>465</v>
      </c>
      <c r="B332" s="5" t="str">
        <f>VLOOKUP(A332,schools!A332:B2080,2,FALSE)</f>
        <v>Warren County High School</v>
      </c>
      <c r="C332" s="5" t="str">
        <f>VLOOKUP(A332,schools!A332:F2080,5,FALSE)</f>
        <v>McMinnville</v>
      </c>
      <c r="D332" s="5" t="s">
        <v>466</v>
      </c>
      <c r="E332" s="5" t="s">
        <v>18</v>
      </c>
      <c r="F332" s="5">
        <v>461</v>
      </c>
      <c r="G332" s="5">
        <v>99</v>
      </c>
      <c r="H332" s="5">
        <v>18.3</v>
      </c>
      <c r="I332" s="5">
        <v>18.2</v>
      </c>
      <c r="J332" s="5">
        <v>18.899999999999999</v>
      </c>
      <c r="K332" s="5">
        <v>19.100000000000001</v>
      </c>
      <c r="L332" s="5">
        <v>18.8</v>
      </c>
      <c r="M332" s="5">
        <v>156</v>
      </c>
      <c r="N332" s="5">
        <v>251</v>
      </c>
      <c r="O332" s="5" t="str">
        <f t="shared" si="10"/>
        <v>Below 20</v>
      </c>
      <c r="P332" s="5" t="str">
        <f t="shared" si="11"/>
        <v>Not all at least 20</v>
      </c>
    </row>
    <row r="333" spans="1:16" x14ac:dyDescent="0.35">
      <c r="A333" s="5" t="s">
        <v>467</v>
      </c>
      <c r="B333" s="5" t="str">
        <f>VLOOKUP(A333,schools!A333:B2081,2,FALSE)</f>
        <v>Daniel Boone High School</v>
      </c>
      <c r="C333" s="5" t="str">
        <f>VLOOKUP(A333,schools!A333:F2081,5,FALSE)</f>
        <v>Gray</v>
      </c>
      <c r="D333" s="5" t="s">
        <v>468</v>
      </c>
      <c r="E333" s="5" t="s">
        <v>18</v>
      </c>
      <c r="F333" s="5">
        <v>317</v>
      </c>
      <c r="G333" s="5">
        <v>99</v>
      </c>
      <c r="H333" s="5">
        <v>19.7</v>
      </c>
      <c r="I333" s="5">
        <v>19.2</v>
      </c>
      <c r="J333" s="5">
        <v>20.100000000000001</v>
      </c>
      <c r="K333" s="5">
        <v>19.8</v>
      </c>
      <c r="L333" s="5">
        <v>19.899999999999999</v>
      </c>
      <c r="M333" s="5">
        <v>137</v>
      </c>
      <c r="N333" s="5">
        <v>131</v>
      </c>
      <c r="O333" s="5" t="str">
        <f t="shared" si="10"/>
        <v>Below 20</v>
      </c>
      <c r="P333" s="5" t="str">
        <f t="shared" si="11"/>
        <v>Not all at least 20</v>
      </c>
    </row>
    <row r="334" spans="1:16" x14ac:dyDescent="0.35">
      <c r="A334" s="5" t="s">
        <v>469</v>
      </c>
      <c r="B334" s="5" t="str">
        <f>VLOOKUP(A334,schools!A334:B2082,2,FALSE)</f>
        <v>David Crockett High School</v>
      </c>
      <c r="C334" s="5" t="str">
        <f>VLOOKUP(A334,schools!A334:F2082,5,FALSE)</f>
        <v>Jonesborough</v>
      </c>
      <c r="D334" s="5" t="s">
        <v>468</v>
      </c>
      <c r="E334" s="5" t="s">
        <v>18</v>
      </c>
      <c r="F334" s="5">
        <v>289</v>
      </c>
      <c r="G334" s="5">
        <v>99</v>
      </c>
      <c r="H334" s="5">
        <v>19.399999999999999</v>
      </c>
      <c r="I334" s="5">
        <v>19.100000000000001</v>
      </c>
      <c r="J334" s="5">
        <v>20</v>
      </c>
      <c r="K334" s="5">
        <v>19.899999999999999</v>
      </c>
      <c r="L334" s="5">
        <v>19.8</v>
      </c>
      <c r="M334" s="5">
        <v>120</v>
      </c>
      <c r="N334" s="5">
        <v>131</v>
      </c>
      <c r="O334" s="5" t="str">
        <f t="shared" si="10"/>
        <v>Below 20</v>
      </c>
      <c r="P334" s="5" t="str">
        <f t="shared" si="11"/>
        <v>Not all at least 20</v>
      </c>
    </row>
    <row r="335" spans="1:16" x14ac:dyDescent="0.35">
      <c r="A335" s="5" t="s">
        <v>470</v>
      </c>
      <c r="B335" s="5" t="str">
        <f>VLOOKUP(A335,schools!A335:B2083,2,FALSE)</f>
        <v>University School</v>
      </c>
      <c r="C335" s="5" t="str">
        <f>VLOOKUP(A335,schools!A335:F2083,5,FALSE)</f>
        <v>Johnson City</v>
      </c>
      <c r="D335" s="5" t="s">
        <v>468</v>
      </c>
      <c r="E335" s="5" t="s">
        <v>18</v>
      </c>
      <c r="F335" s="5">
        <v>71</v>
      </c>
      <c r="G335" s="5">
        <v>100</v>
      </c>
      <c r="H335" s="5">
        <v>29</v>
      </c>
      <c r="I335" s="5">
        <v>26.7</v>
      </c>
      <c r="J335" s="5">
        <v>28.6</v>
      </c>
      <c r="K335" s="5">
        <v>27.5</v>
      </c>
      <c r="L335" s="5">
        <v>28</v>
      </c>
      <c r="M335" s="5" t="s">
        <v>41</v>
      </c>
      <c r="N335" s="5" t="s">
        <v>41</v>
      </c>
      <c r="O335" s="5" t="str">
        <f t="shared" si="10"/>
        <v>At least 20</v>
      </c>
      <c r="P335" s="5" t="str">
        <f t="shared" si="11"/>
        <v>All at least 20</v>
      </c>
    </row>
    <row r="336" spans="1:16" x14ac:dyDescent="0.35">
      <c r="A336" s="5" t="s">
        <v>471</v>
      </c>
      <c r="B336" s="5" t="str">
        <f>VLOOKUP(A336,schools!A336:B2084,2,FALSE)</f>
        <v>Tennessee Virtual Learning Academy</v>
      </c>
      <c r="C336" s="5" t="str">
        <f>VLOOKUP(A336,schools!A336:F2084,5,FALSE)</f>
        <v>Johnson City</v>
      </c>
      <c r="D336" s="5" t="s">
        <v>468</v>
      </c>
      <c r="E336" s="5" t="s">
        <v>18</v>
      </c>
      <c r="F336" s="5">
        <v>3</v>
      </c>
      <c r="G336" s="5" t="s">
        <v>44</v>
      </c>
      <c r="H336" s="5" t="s">
        <v>44</v>
      </c>
      <c r="I336" s="5" t="s">
        <v>44</v>
      </c>
      <c r="J336" s="5" t="s">
        <v>44</v>
      </c>
      <c r="K336" s="5" t="s">
        <v>44</v>
      </c>
      <c r="L336" s="5" t="s">
        <v>44</v>
      </c>
      <c r="M336" s="5" t="s">
        <v>44</v>
      </c>
      <c r="N336" s="5" t="s">
        <v>44</v>
      </c>
      <c r="O336" s="5" t="str">
        <f t="shared" si="10"/>
        <v>Score Not Available</v>
      </c>
      <c r="P336" s="5" t="str">
        <f t="shared" si="11"/>
        <v>Not all at least 20</v>
      </c>
    </row>
    <row r="337" spans="1:16" x14ac:dyDescent="0.35">
      <c r="A337" s="5" t="s">
        <v>472</v>
      </c>
      <c r="B337" s="5" t="str">
        <f>VLOOKUP(A337,schools!A337:B2085,2,FALSE)</f>
        <v>Science Hill High School</v>
      </c>
      <c r="C337" s="5" t="str">
        <f>VLOOKUP(A337,schools!A337:F2085,5,FALSE)</f>
        <v>Johnson City</v>
      </c>
      <c r="D337" s="5" t="s">
        <v>473</v>
      </c>
      <c r="E337" s="5" t="s">
        <v>18</v>
      </c>
      <c r="F337" s="5">
        <v>512</v>
      </c>
      <c r="G337" s="5">
        <v>97</v>
      </c>
      <c r="H337" s="5">
        <v>21.9</v>
      </c>
      <c r="I337" s="5">
        <v>21.9</v>
      </c>
      <c r="J337" s="5">
        <v>22.7</v>
      </c>
      <c r="K337" s="5">
        <v>22.2</v>
      </c>
      <c r="L337" s="5">
        <v>22.3</v>
      </c>
      <c r="M337" s="5">
        <v>304</v>
      </c>
      <c r="N337" s="5">
        <v>150</v>
      </c>
      <c r="O337" s="5" t="str">
        <f t="shared" si="10"/>
        <v>At least 20</v>
      </c>
      <c r="P337" s="5" t="str">
        <f t="shared" si="11"/>
        <v>All at least 20</v>
      </c>
    </row>
    <row r="338" spans="1:16" x14ac:dyDescent="0.35">
      <c r="A338" s="5" t="s">
        <v>474</v>
      </c>
      <c r="B338" s="5" t="str">
        <f>VLOOKUP(A338,schools!A338:B2086,2,FALSE)</f>
        <v>Collinwood High School</v>
      </c>
      <c r="C338" s="5" t="str">
        <f>VLOOKUP(A338,schools!A338:F2086,5,FALSE)</f>
        <v>Collinwood</v>
      </c>
      <c r="D338" s="5" t="s">
        <v>475</v>
      </c>
      <c r="E338" s="5" t="s">
        <v>18</v>
      </c>
      <c r="F338" s="5">
        <v>67</v>
      </c>
      <c r="G338" s="5">
        <v>100</v>
      </c>
      <c r="H338" s="5">
        <v>17.899999999999999</v>
      </c>
      <c r="I338" s="5">
        <v>18.100000000000001</v>
      </c>
      <c r="J338" s="5">
        <v>19</v>
      </c>
      <c r="K338" s="5">
        <v>18.5</v>
      </c>
      <c r="L338" s="5">
        <v>18.5</v>
      </c>
      <c r="M338" s="5">
        <v>26</v>
      </c>
      <c r="N338" s="5">
        <v>32</v>
      </c>
      <c r="O338" s="5" t="str">
        <f t="shared" si="10"/>
        <v>Below 20</v>
      </c>
      <c r="P338" s="5" t="str">
        <f t="shared" si="11"/>
        <v>Not all at least 20</v>
      </c>
    </row>
    <row r="339" spans="1:16" x14ac:dyDescent="0.35">
      <c r="A339" s="5" t="s">
        <v>476</v>
      </c>
      <c r="B339" s="5" t="str">
        <f>VLOOKUP(A339,schools!A339:B2087,2,FALSE)</f>
        <v>Frank Hughes School</v>
      </c>
      <c r="C339" s="5" t="str">
        <f>VLOOKUP(A339,schools!A339:F2087,5,FALSE)</f>
        <v>Clifton</v>
      </c>
      <c r="D339" s="5" t="s">
        <v>475</v>
      </c>
      <c r="E339" s="5" t="s">
        <v>18</v>
      </c>
      <c r="F339" s="5">
        <v>27</v>
      </c>
      <c r="G339" s="5">
        <v>93</v>
      </c>
      <c r="H339" s="5">
        <v>19.8</v>
      </c>
      <c r="I339" s="5">
        <v>18.5</v>
      </c>
      <c r="J339" s="5">
        <v>19.399999999999999</v>
      </c>
      <c r="K339" s="5">
        <v>19.3</v>
      </c>
      <c r="L339" s="5">
        <v>19.399999999999999</v>
      </c>
      <c r="M339" s="5">
        <v>11</v>
      </c>
      <c r="N339" s="5">
        <v>13</v>
      </c>
      <c r="O339" s="5" t="str">
        <f t="shared" si="10"/>
        <v>Below 20</v>
      </c>
      <c r="P339" s="5" t="str">
        <f t="shared" si="11"/>
        <v>Not all at least 20</v>
      </c>
    </row>
    <row r="340" spans="1:16" x14ac:dyDescent="0.35">
      <c r="A340" s="5" t="s">
        <v>477</v>
      </c>
      <c r="B340" s="5" t="str">
        <f>VLOOKUP(A340,schools!A340:B2088,2,FALSE)</f>
        <v>Wayne County High School</v>
      </c>
      <c r="C340" s="5" t="str">
        <f>VLOOKUP(A340,schools!A340:F2088,5,FALSE)</f>
        <v>Waynesboro</v>
      </c>
      <c r="D340" s="5" t="s">
        <v>475</v>
      </c>
      <c r="E340" s="5" t="s">
        <v>18</v>
      </c>
      <c r="F340" s="5">
        <v>72</v>
      </c>
      <c r="G340" s="5">
        <v>100</v>
      </c>
      <c r="H340" s="5">
        <v>19.7</v>
      </c>
      <c r="I340" s="5">
        <v>18.899999999999999</v>
      </c>
      <c r="J340" s="5">
        <v>20.9</v>
      </c>
      <c r="K340" s="5">
        <v>20.399999999999999</v>
      </c>
      <c r="L340" s="5">
        <v>20.2</v>
      </c>
      <c r="M340" s="5">
        <v>32</v>
      </c>
      <c r="N340" s="5">
        <v>27</v>
      </c>
      <c r="O340" s="5" t="str">
        <f t="shared" si="10"/>
        <v>At least 20</v>
      </c>
      <c r="P340" s="5" t="str">
        <f t="shared" si="11"/>
        <v>Not all at least 20</v>
      </c>
    </row>
    <row r="341" spans="1:16" x14ac:dyDescent="0.35">
      <c r="A341" s="5" t="s">
        <v>478</v>
      </c>
      <c r="B341" s="5" t="str">
        <f>VLOOKUP(A341,schools!A341:B2089,2,FALSE)</f>
        <v>Dresden High School</v>
      </c>
      <c r="C341" s="5" t="str">
        <f>VLOOKUP(A341,schools!A341:F2089,5,FALSE)</f>
        <v>Dresden</v>
      </c>
      <c r="D341" s="5" t="s">
        <v>479</v>
      </c>
      <c r="E341" s="5" t="s">
        <v>18</v>
      </c>
      <c r="F341" s="5">
        <v>81</v>
      </c>
      <c r="G341" s="5">
        <v>98</v>
      </c>
      <c r="H341" s="5">
        <v>19.5</v>
      </c>
      <c r="I341" s="5">
        <v>20.7</v>
      </c>
      <c r="J341" s="5">
        <v>20.7</v>
      </c>
      <c r="K341" s="5">
        <v>20.9</v>
      </c>
      <c r="L341" s="5">
        <v>20.5</v>
      </c>
      <c r="M341" s="5">
        <v>39</v>
      </c>
      <c r="N341" s="5">
        <v>33</v>
      </c>
      <c r="O341" s="5" t="str">
        <f t="shared" si="10"/>
        <v>At least 20</v>
      </c>
      <c r="P341" s="5" t="str">
        <f t="shared" si="11"/>
        <v>Not all at least 20</v>
      </c>
    </row>
    <row r="342" spans="1:16" x14ac:dyDescent="0.35">
      <c r="A342" s="5" t="s">
        <v>480</v>
      </c>
      <c r="B342" s="5" t="str">
        <f>VLOOKUP(A342,schools!A342:B2090,2,FALSE)</f>
        <v>Gleason School</v>
      </c>
      <c r="C342" s="5" t="str">
        <f>VLOOKUP(A342,schools!A342:F2090,5,FALSE)</f>
        <v>Gleason</v>
      </c>
      <c r="D342" s="5" t="s">
        <v>479</v>
      </c>
      <c r="E342" s="5" t="s">
        <v>18</v>
      </c>
      <c r="F342" s="5">
        <v>32</v>
      </c>
      <c r="G342" s="5">
        <v>100</v>
      </c>
      <c r="H342" s="5">
        <v>19.600000000000001</v>
      </c>
      <c r="I342" s="5">
        <v>19.3</v>
      </c>
      <c r="J342" s="5">
        <v>19.600000000000001</v>
      </c>
      <c r="K342" s="5">
        <v>20.8</v>
      </c>
      <c r="L342" s="5">
        <v>20</v>
      </c>
      <c r="M342" s="5">
        <v>20</v>
      </c>
      <c r="N342" s="5">
        <v>12</v>
      </c>
      <c r="O342" s="5" t="str">
        <f t="shared" si="10"/>
        <v>At least 20</v>
      </c>
      <c r="P342" s="5" t="str">
        <f t="shared" si="11"/>
        <v>Not all at least 20</v>
      </c>
    </row>
    <row r="343" spans="1:16" x14ac:dyDescent="0.35">
      <c r="A343" s="5" t="s">
        <v>481</v>
      </c>
      <c r="B343" s="5" t="str">
        <f>VLOOKUP(A343,schools!A343:B2091,2,FALSE)</f>
        <v>Greenfield School</v>
      </c>
      <c r="C343" s="5" t="str">
        <f>VLOOKUP(A343,schools!A343:F2091,5,FALSE)</f>
        <v>Greenfield</v>
      </c>
      <c r="D343" s="5" t="s">
        <v>479</v>
      </c>
      <c r="E343" s="5" t="s">
        <v>18</v>
      </c>
      <c r="F343" s="5">
        <v>45</v>
      </c>
      <c r="G343" s="5">
        <v>96</v>
      </c>
      <c r="H343" s="5">
        <v>22.1</v>
      </c>
      <c r="I343" s="5">
        <v>21.8</v>
      </c>
      <c r="J343" s="5">
        <v>21.8</v>
      </c>
      <c r="K343" s="5">
        <v>23</v>
      </c>
      <c r="L343" s="5">
        <v>22.4</v>
      </c>
      <c r="M343" s="5">
        <v>30</v>
      </c>
      <c r="N343" s="5">
        <v>7</v>
      </c>
      <c r="O343" s="5" t="str">
        <f t="shared" si="10"/>
        <v>At least 20</v>
      </c>
      <c r="P343" s="5" t="str">
        <f t="shared" si="11"/>
        <v>All at least 20</v>
      </c>
    </row>
    <row r="344" spans="1:16" x14ac:dyDescent="0.35">
      <c r="A344" s="5" t="s">
        <v>482</v>
      </c>
      <c r="B344" s="5" t="str">
        <f>VLOOKUP(A344,schools!A344:B2092,2,FALSE)</f>
        <v>Westview High School</v>
      </c>
      <c r="C344" s="5" t="str">
        <f>VLOOKUP(A344,schools!A344:F2092,5,FALSE)</f>
        <v>Martin</v>
      </c>
      <c r="D344" s="5" t="s">
        <v>479</v>
      </c>
      <c r="E344" s="5" t="s">
        <v>18</v>
      </c>
      <c r="F344" s="5">
        <v>131</v>
      </c>
      <c r="G344" s="5">
        <v>98</v>
      </c>
      <c r="H344" s="5">
        <v>21.7</v>
      </c>
      <c r="I344" s="5">
        <v>19.8</v>
      </c>
      <c r="J344" s="5">
        <v>21.6</v>
      </c>
      <c r="K344" s="5">
        <v>21.5</v>
      </c>
      <c r="L344" s="5">
        <v>21.3</v>
      </c>
      <c r="M344" s="5">
        <v>67</v>
      </c>
      <c r="N344" s="5">
        <v>41</v>
      </c>
      <c r="O344" s="5" t="str">
        <f t="shared" si="10"/>
        <v>At least 20</v>
      </c>
      <c r="P344" s="5" t="str">
        <f t="shared" si="11"/>
        <v>Not all at least 20</v>
      </c>
    </row>
    <row r="345" spans="1:16" x14ac:dyDescent="0.35">
      <c r="A345" s="5" t="s">
        <v>483</v>
      </c>
      <c r="B345" s="5" t="str">
        <f>VLOOKUP(A345,schools!A345:B2093,2,FALSE)</f>
        <v>White County High School</v>
      </c>
      <c r="C345" s="5" t="str">
        <f>VLOOKUP(A345,schools!A345:F2093,5,FALSE)</f>
        <v>Sparta</v>
      </c>
      <c r="D345" s="5" t="s">
        <v>484</v>
      </c>
      <c r="E345" s="5" t="s">
        <v>18</v>
      </c>
      <c r="F345" s="5">
        <v>255</v>
      </c>
      <c r="G345" s="5">
        <v>99</v>
      </c>
      <c r="H345" s="5">
        <v>19.100000000000001</v>
      </c>
      <c r="I345" s="5">
        <v>19.8</v>
      </c>
      <c r="J345" s="5">
        <v>19.5</v>
      </c>
      <c r="K345" s="5">
        <v>19.899999999999999</v>
      </c>
      <c r="L345" s="5">
        <v>19.7</v>
      </c>
      <c r="M345" s="5">
        <v>103</v>
      </c>
      <c r="N345" s="5">
        <v>111</v>
      </c>
      <c r="O345" s="5" t="str">
        <f t="shared" si="10"/>
        <v>Below 20</v>
      </c>
      <c r="P345" s="5" t="str">
        <f t="shared" si="11"/>
        <v>Not all at least 20</v>
      </c>
    </row>
    <row r="346" spans="1:16" x14ac:dyDescent="0.35">
      <c r="A346" s="5" t="s">
        <v>485</v>
      </c>
      <c r="B346" s="5" t="str">
        <f>VLOOKUP(A346,schools!A346:B2094,2,FALSE)</f>
        <v>Brentwood High School</v>
      </c>
      <c r="C346" s="5" t="str">
        <f>VLOOKUP(A346,schools!A346:F2094,5,FALSE)</f>
        <v>Brentwood</v>
      </c>
      <c r="D346" s="5" t="s">
        <v>486</v>
      </c>
      <c r="E346" s="5" t="s">
        <v>18</v>
      </c>
      <c r="F346" s="5">
        <v>417</v>
      </c>
      <c r="G346" s="5">
        <v>100</v>
      </c>
      <c r="H346" s="5">
        <v>28.1</v>
      </c>
      <c r="I346" s="5">
        <v>26.7</v>
      </c>
      <c r="J346" s="5">
        <v>28</v>
      </c>
      <c r="K346" s="5">
        <v>26.9</v>
      </c>
      <c r="L346" s="5">
        <v>27.6</v>
      </c>
      <c r="M346" s="5" t="s">
        <v>41</v>
      </c>
      <c r="N346" s="5" t="s">
        <v>41</v>
      </c>
      <c r="O346" s="5" t="str">
        <f t="shared" si="10"/>
        <v>At least 20</v>
      </c>
      <c r="P346" s="5" t="str">
        <f t="shared" si="11"/>
        <v>All at least 20</v>
      </c>
    </row>
    <row r="347" spans="1:16" x14ac:dyDescent="0.35">
      <c r="A347" s="5" t="s">
        <v>487</v>
      </c>
      <c r="B347" s="5" t="str">
        <f>VLOOKUP(A347,schools!A347:B2095,2,FALSE)</f>
        <v>Centennial High School</v>
      </c>
      <c r="C347" s="5" t="str">
        <f>VLOOKUP(A347,schools!A347:F2095,5,FALSE)</f>
        <v>Franklin</v>
      </c>
      <c r="D347" s="5" t="s">
        <v>486</v>
      </c>
      <c r="E347" s="5" t="s">
        <v>18</v>
      </c>
      <c r="F347" s="5">
        <v>367</v>
      </c>
      <c r="G347" s="5">
        <v>99</v>
      </c>
      <c r="H347" s="5">
        <v>22.9</v>
      </c>
      <c r="I347" s="5">
        <v>22.5</v>
      </c>
      <c r="J347" s="5">
        <v>24</v>
      </c>
      <c r="K347" s="5">
        <v>23.2</v>
      </c>
      <c r="L347" s="5">
        <v>23.3</v>
      </c>
      <c r="M347" s="5">
        <v>248</v>
      </c>
      <c r="N347" s="5">
        <v>79</v>
      </c>
      <c r="O347" s="5" t="str">
        <f t="shared" si="10"/>
        <v>At least 20</v>
      </c>
      <c r="P347" s="5" t="str">
        <f t="shared" si="11"/>
        <v>All at least 20</v>
      </c>
    </row>
    <row r="348" spans="1:16" x14ac:dyDescent="0.35">
      <c r="A348" s="5" t="s">
        <v>488</v>
      </c>
      <c r="B348" s="5" t="str">
        <f>VLOOKUP(A348,schools!A348:B2096,2,FALSE)</f>
        <v>Fairview High School</v>
      </c>
      <c r="C348" s="5" t="str">
        <f>VLOOKUP(A348,schools!A348:F2096,5,FALSE)</f>
        <v>Fairview</v>
      </c>
      <c r="D348" s="5" t="s">
        <v>486</v>
      </c>
      <c r="E348" s="5" t="s">
        <v>18</v>
      </c>
      <c r="F348" s="5">
        <v>138</v>
      </c>
      <c r="G348" s="5">
        <v>98</v>
      </c>
      <c r="H348" s="5">
        <v>21.8</v>
      </c>
      <c r="I348" s="5">
        <v>21</v>
      </c>
      <c r="J348" s="5">
        <v>22.8</v>
      </c>
      <c r="K348" s="5">
        <v>21.8</v>
      </c>
      <c r="L348" s="5">
        <v>22</v>
      </c>
      <c r="M348" s="5">
        <v>83</v>
      </c>
      <c r="N348" s="5">
        <v>39</v>
      </c>
      <c r="O348" s="5" t="str">
        <f t="shared" si="10"/>
        <v>At least 20</v>
      </c>
      <c r="P348" s="5" t="str">
        <f t="shared" si="11"/>
        <v>All at least 20</v>
      </c>
    </row>
    <row r="349" spans="1:16" x14ac:dyDescent="0.35">
      <c r="A349" s="5" t="s">
        <v>489</v>
      </c>
      <c r="B349" s="5" t="str">
        <f>VLOOKUP(A349,schools!A349:B2097,2,FALSE)</f>
        <v>Franklin High School</v>
      </c>
      <c r="C349" s="5" t="str">
        <f>VLOOKUP(A349,schools!A349:F2097,5,FALSE)</f>
        <v>Franklin</v>
      </c>
      <c r="D349" s="5" t="s">
        <v>486</v>
      </c>
      <c r="E349" s="5" t="s">
        <v>18</v>
      </c>
      <c r="F349" s="5">
        <v>438</v>
      </c>
      <c r="G349" s="5">
        <v>99</v>
      </c>
      <c r="H349" s="5">
        <v>27</v>
      </c>
      <c r="I349" s="5">
        <v>25.5</v>
      </c>
      <c r="J349" s="5">
        <v>27.1</v>
      </c>
      <c r="K349" s="5">
        <v>25.9</v>
      </c>
      <c r="L349" s="5">
        <v>26.6</v>
      </c>
      <c r="M349" s="5">
        <v>390</v>
      </c>
      <c r="N349" s="5">
        <v>24</v>
      </c>
      <c r="O349" s="5" t="str">
        <f t="shared" si="10"/>
        <v>At least 20</v>
      </c>
      <c r="P349" s="5" t="str">
        <f t="shared" si="11"/>
        <v>All at least 20</v>
      </c>
    </row>
    <row r="350" spans="1:16" x14ac:dyDescent="0.35">
      <c r="A350" s="5" t="s">
        <v>490</v>
      </c>
      <c r="B350" s="5" t="str">
        <f>VLOOKUP(A350,schools!A350:B2098,2,FALSE)</f>
        <v>Fred J Page High School</v>
      </c>
      <c r="C350" s="5" t="str">
        <f>VLOOKUP(A350,schools!A350:F2098,5,FALSE)</f>
        <v>Franklin</v>
      </c>
      <c r="D350" s="5" t="s">
        <v>486</v>
      </c>
      <c r="E350" s="5" t="s">
        <v>18</v>
      </c>
      <c r="F350" s="5">
        <v>255</v>
      </c>
      <c r="G350" s="5">
        <v>98</v>
      </c>
      <c r="H350" s="5">
        <v>26.1</v>
      </c>
      <c r="I350" s="5">
        <v>24.2</v>
      </c>
      <c r="J350" s="5">
        <v>25.6</v>
      </c>
      <c r="K350" s="5">
        <v>25.2</v>
      </c>
      <c r="L350" s="5">
        <v>25.3</v>
      </c>
      <c r="M350" s="5">
        <v>207</v>
      </c>
      <c r="N350" s="5">
        <v>28</v>
      </c>
      <c r="O350" s="5" t="str">
        <f t="shared" si="10"/>
        <v>At least 20</v>
      </c>
      <c r="P350" s="5" t="str">
        <f t="shared" si="11"/>
        <v>All at least 20</v>
      </c>
    </row>
    <row r="351" spans="1:16" x14ac:dyDescent="0.35">
      <c r="A351" s="5" t="s">
        <v>491</v>
      </c>
      <c r="B351" s="5" t="str">
        <f>VLOOKUP(A351,schools!A351:B2099,2,FALSE)</f>
        <v>Independence High School</v>
      </c>
      <c r="C351" s="5" t="str">
        <f>VLOOKUP(A351,schools!A351:F2099,5,FALSE)</f>
        <v>Thompson's Station</v>
      </c>
      <c r="D351" s="5" t="s">
        <v>486</v>
      </c>
      <c r="E351" s="5" t="s">
        <v>18</v>
      </c>
      <c r="F351" s="5">
        <v>352</v>
      </c>
      <c r="G351" s="5">
        <v>99</v>
      </c>
      <c r="H351" s="5">
        <v>24.4</v>
      </c>
      <c r="I351" s="5">
        <v>22.7</v>
      </c>
      <c r="J351" s="5">
        <v>24.9</v>
      </c>
      <c r="K351" s="5">
        <v>24.2</v>
      </c>
      <c r="L351" s="5">
        <v>24.2</v>
      </c>
      <c r="M351" s="5">
        <v>259</v>
      </c>
      <c r="N351" s="5">
        <v>46</v>
      </c>
      <c r="O351" s="5" t="str">
        <f t="shared" si="10"/>
        <v>At least 20</v>
      </c>
      <c r="P351" s="5" t="str">
        <f t="shared" si="11"/>
        <v>All at least 20</v>
      </c>
    </row>
    <row r="352" spans="1:16" x14ac:dyDescent="0.35">
      <c r="A352" s="5" t="s">
        <v>492</v>
      </c>
      <c r="B352" s="5" t="str">
        <f>VLOOKUP(A352,schools!A352:B2100,2,FALSE)</f>
        <v>Renaissance High School</v>
      </c>
      <c r="C352" s="5" t="str">
        <f>VLOOKUP(A352,schools!A352:F2100,5,FALSE)</f>
        <v>Franklin</v>
      </c>
      <c r="D352" s="5" t="s">
        <v>486</v>
      </c>
      <c r="E352" s="5" t="s">
        <v>18</v>
      </c>
      <c r="F352" s="5">
        <v>35</v>
      </c>
      <c r="G352" s="5">
        <v>100</v>
      </c>
      <c r="H352" s="5">
        <v>26.2</v>
      </c>
      <c r="I352" s="5">
        <v>21.5</v>
      </c>
      <c r="J352" s="5">
        <v>27.7</v>
      </c>
      <c r="K352" s="5">
        <v>24</v>
      </c>
      <c r="L352" s="5">
        <v>24.9</v>
      </c>
      <c r="M352" s="5">
        <v>30</v>
      </c>
      <c r="N352" s="5">
        <v>5</v>
      </c>
      <c r="O352" s="5" t="str">
        <f t="shared" si="10"/>
        <v>At least 20</v>
      </c>
      <c r="P352" s="5" t="str">
        <f t="shared" si="11"/>
        <v>All at least 20</v>
      </c>
    </row>
    <row r="353" spans="1:16" x14ac:dyDescent="0.35">
      <c r="A353" s="5" t="s">
        <v>493</v>
      </c>
      <c r="B353" s="5" t="str">
        <f>VLOOKUP(A353,schools!A353:B2101,2,FALSE)</f>
        <v>Ravenwood High School</v>
      </c>
      <c r="C353" s="5" t="str">
        <f>VLOOKUP(A353,schools!A353:F2101,5,FALSE)</f>
        <v>Brentwood</v>
      </c>
      <c r="D353" s="5" t="s">
        <v>486</v>
      </c>
      <c r="E353" s="5" t="s">
        <v>18</v>
      </c>
      <c r="F353" s="5">
        <v>516</v>
      </c>
      <c r="G353" s="5">
        <v>99</v>
      </c>
      <c r="H353" s="5">
        <v>27</v>
      </c>
      <c r="I353" s="5">
        <v>25.8</v>
      </c>
      <c r="J353" s="5">
        <v>27.1</v>
      </c>
      <c r="K353" s="5">
        <v>26.2</v>
      </c>
      <c r="L353" s="5">
        <v>26.7</v>
      </c>
      <c r="M353" s="5" t="s">
        <v>41</v>
      </c>
      <c r="N353" s="5" t="s">
        <v>41</v>
      </c>
      <c r="O353" s="5" t="str">
        <f t="shared" si="10"/>
        <v>At least 20</v>
      </c>
      <c r="P353" s="5" t="str">
        <f t="shared" si="11"/>
        <v>All at least 20</v>
      </c>
    </row>
    <row r="354" spans="1:16" x14ac:dyDescent="0.35">
      <c r="A354" s="5" t="s">
        <v>494</v>
      </c>
      <c r="B354" s="5" t="str">
        <f>VLOOKUP(A354,schools!A354:B2102,2,FALSE)</f>
        <v>Summit High School</v>
      </c>
      <c r="C354" s="5" t="str">
        <f>VLOOKUP(A354,schools!A354:F2102,5,FALSE)</f>
        <v>Spring Hill</v>
      </c>
      <c r="D354" s="5" t="s">
        <v>486</v>
      </c>
      <c r="E354" s="5" t="s">
        <v>18</v>
      </c>
      <c r="F354" s="5">
        <v>326</v>
      </c>
      <c r="G354" s="5">
        <v>98</v>
      </c>
      <c r="H354" s="5">
        <v>23.8</v>
      </c>
      <c r="I354" s="5">
        <v>22.5</v>
      </c>
      <c r="J354" s="5">
        <v>24.5</v>
      </c>
      <c r="K354" s="5">
        <v>23.6</v>
      </c>
      <c r="L354" s="5">
        <v>23.8</v>
      </c>
      <c r="M354" s="5">
        <v>238</v>
      </c>
      <c r="N354" s="5">
        <v>46</v>
      </c>
      <c r="O354" s="5" t="str">
        <f t="shared" si="10"/>
        <v>At least 20</v>
      </c>
      <c r="P354" s="5" t="str">
        <f t="shared" si="11"/>
        <v>All at least 20</v>
      </c>
    </row>
    <row r="355" spans="1:16" x14ac:dyDescent="0.35">
      <c r="A355" s="5" t="s">
        <v>495</v>
      </c>
      <c r="B355" s="5" t="str">
        <f>VLOOKUP(A355,schools!A355:B2103,2,FALSE)</f>
        <v>Lebanon High School</v>
      </c>
      <c r="C355" s="5" t="str">
        <f>VLOOKUP(A355,schools!A355:F2103,5,FALSE)</f>
        <v>Lebanon</v>
      </c>
      <c r="D355" s="5" t="s">
        <v>496</v>
      </c>
      <c r="E355" s="5" t="s">
        <v>18</v>
      </c>
      <c r="F355" s="5">
        <v>424</v>
      </c>
      <c r="G355" s="5">
        <v>99</v>
      </c>
      <c r="H355" s="5">
        <v>19.8</v>
      </c>
      <c r="I355" s="5">
        <v>19.2</v>
      </c>
      <c r="J355" s="5">
        <v>20.399999999999999</v>
      </c>
      <c r="K355" s="5">
        <v>20</v>
      </c>
      <c r="L355" s="5">
        <v>20</v>
      </c>
      <c r="M355" s="5">
        <v>177</v>
      </c>
      <c r="N355" s="5">
        <v>188</v>
      </c>
      <c r="O355" s="5" t="str">
        <f t="shared" si="10"/>
        <v>At least 20</v>
      </c>
      <c r="P355" s="5" t="str">
        <f t="shared" si="11"/>
        <v>Not all at least 20</v>
      </c>
    </row>
    <row r="356" spans="1:16" x14ac:dyDescent="0.35">
      <c r="A356" s="5" t="s">
        <v>497</v>
      </c>
      <c r="B356" s="5" t="str">
        <f>VLOOKUP(A356,schools!A356:B2104,2,FALSE)</f>
        <v>Mt. Juliet High School</v>
      </c>
      <c r="C356" s="5" t="str">
        <f>VLOOKUP(A356,schools!A356:F2104,5,FALSE)</f>
        <v>Mt Juliet</v>
      </c>
      <c r="D356" s="5" t="s">
        <v>496</v>
      </c>
      <c r="E356" s="5" t="s">
        <v>18</v>
      </c>
      <c r="F356" s="5">
        <v>486</v>
      </c>
      <c r="G356" s="5">
        <v>99</v>
      </c>
      <c r="H356" s="5">
        <v>23</v>
      </c>
      <c r="I356" s="5">
        <v>21.5</v>
      </c>
      <c r="J356" s="5">
        <v>23.2</v>
      </c>
      <c r="K356" s="5">
        <v>22.5</v>
      </c>
      <c r="L356" s="5">
        <v>22.7</v>
      </c>
      <c r="M356" s="5">
        <v>310</v>
      </c>
      <c r="N356" s="5">
        <v>120</v>
      </c>
      <c r="O356" s="5" t="str">
        <f t="shared" si="10"/>
        <v>At least 20</v>
      </c>
      <c r="P356" s="5" t="str">
        <f t="shared" si="11"/>
        <v>All at least 20</v>
      </c>
    </row>
    <row r="357" spans="1:16" x14ac:dyDescent="0.35">
      <c r="A357" s="5" t="s">
        <v>498</v>
      </c>
      <c r="B357" s="5" t="str">
        <f>VLOOKUP(A357,schools!A357:B2105,2,FALSE)</f>
        <v>Watertown High School</v>
      </c>
      <c r="C357" s="5" t="str">
        <f>VLOOKUP(A357,schools!A357:F2105,5,FALSE)</f>
        <v>Watertown</v>
      </c>
      <c r="D357" s="5" t="s">
        <v>496</v>
      </c>
      <c r="E357" s="5" t="s">
        <v>18</v>
      </c>
      <c r="F357" s="5">
        <v>110</v>
      </c>
      <c r="G357" s="5">
        <v>100</v>
      </c>
      <c r="H357" s="5">
        <v>19.899999999999999</v>
      </c>
      <c r="I357" s="5">
        <v>18.7</v>
      </c>
      <c r="J357" s="5">
        <v>20.8</v>
      </c>
      <c r="K357" s="5">
        <v>20.6</v>
      </c>
      <c r="L357" s="5">
        <v>20.2</v>
      </c>
      <c r="M357" s="5">
        <v>49</v>
      </c>
      <c r="N357" s="5">
        <v>47</v>
      </c>
      <c r="O357" s="5" t="str">
        <f t="shared" si="10"/>
        <v>At least 20</v>
      </c>
      <c r="P357" s="5" t="str">
        <f t="shared" si="11"/>
        <v>Not all at least 20</v>
      </c>
    </row>
    <row r="358" spans="1:16" x14ac:dyDescent="0.35">
      <c r="A358" s="5" t="s">
        <v>499</v>
      </c>
      <c r="B358" s="5" t="str">
        <f>VLOOKUP(A358,schools!A358:B2106,2,FALSE)</f>
        <v>Wilson Central High School</v>
      </c>
      <c r="C358" s="5" t="str">
        <f>VLOOKUP(A358,schools!A358:F2106,5,FALSE)</f>
        <v>Lebanon</v>
      </c>
      <c r="D358" s="5" t="s">
        <v>496</v>
      </c>
      <c r="E358" s="5" t="s">
        <v>18</v>
      </c>
      <c r="F358" s="5">
        <v>441</v>
      </c>
      <c r="G358" s="5">
        <v>99</v>
      </c>
      <c r="H358" s="5">
        <v>20.5</v>
      </c>
      <c r="I358" s="5">
        <v>19.8</v>
      </c>
      <c r="J358" s="5">
        <v>21.5</v>
      </c>
      <c r="K358" s="5">
        <v>21</v>
      </c>
      <c r="L358" s="5">
        <v>20.8</v>
      </c>
      <c r="M358" s="5">
        <v>214</v>
      </c>
      <c r="N358" s="5">
        <v>146</v>
      </c>
      <c r="O358" s="5" t="str">
        <f t="shared" si="10"/>
        <v>At least 20</v>
      </c>
      <c r="P358" s="5" t="str">
        <f t="shared" si="11"/>
        <v>Not all at least 20</v>
      </c>
    </row>
    <row r="359" spans="1:16" x14ac:dyDescent="0.35">
      <c r="A359" s="5" t="s">
        <v>500</v>
      </c>
      <c r="B359" s="5" t="str">
        <f>VLOOKUP(A359,schools!A359:B2107,2,FALSE)</f>
        <v>Tennessee Virtual On-Line School</v>
      </c>
      <c r="C359" s="5" t="str">
        <f>VLOOKUP(A359,schools!A359:F2107,5,FALSE)</f>
        <v>Lebanon</v>
      </c>
      <c r="D359" s="5" t="s">
        <v>496</v>
      </c>
      <c r="E359" s="5" t="s">
        <v>18</v>
      </c>
      <c r="F359" s="5">
        <v>9</v>
      </c>
      <c r="G359" s="5" t="s">
        <v>44</v>
      </c>
      <c r="H359" s="5" t="s">
        <v>44</v>
      </c>
      <c r="I359" s="5" t="s">
        <v>44</v>
      </c>
      <c r="J359" s="5" t="s">
        <v>44</v>
      </c>
      <c r="K359" s="5" t="s">
        <v>44</v>
      </c>
      <c r="L359" s="5" t="s">
        <v>44</v>
      </c>
      <c r="M359" s="5" t="s">
        <v>44</v>
      </c>
      <c r="N359" s="5" t="s">
        <v>44</v>
      </c>
      <c r="O359" s="5" t="str">
        <f t="shared" si="10"/>
        <v>Score Not Available</v>
      </c>
      <c r="P359" s="5" t="str">
        <f t="shared" si="11"/>
        <v>Not all at least 20</v>
      </c>
    </row>
    <row r="360" spans="1:16" x14ac:dyDescent="0.35">
      <c r="A360" s="5" t="s">
        <v>501</v>
      </c>
      <c r="B360" s="5" t="str">
        <f>VLOOKUP(A360,schools!A360:B2108,2,FALSE)</f>
        <v>Alvin C. York Institute</v>
      </c>
      <c r="C360" s="5" t="str">
        <f>VLOOKUP(A360,schools!A360:F2108,5,FALSE)</f>
        <v>Jamestown</v>
      </c>
      <c r="D360" s="5" t="s">
        <v>502</v>
      </c>
      <c r="E360" s="5" t="s">
        <v>18</v>
      </c>
      <c r="F360" s="5">
        <v>113</v>
      </c>
      <c r="G360" s="5">
        <v>98</v>
      </c>
      <c r="H360" s="5">
        <v>19</v>
      </c>
      <c r="I360" s="5">
        <v>19.2</v>
      </c>
      <c r="J360" s="5">
        <v>19</v>
      </c>
      <c r="K360" s="5">
        <v>19.399999999999999</v>
      </c>
      <c r="L360" s="5">
        <v>19.3</v>
      </c>
      <c r="M360" s="5">
        <v>39</v>
      </c>
      <c r="N360" s="5">
        <v>51</v>
      </c>
      <c r="O360" s="5" t="str">
        <f t="shared" si="10"/>
        <v>Below 20</v>
      </c>
      <c r="P360" s="5" t="str">
        <f t="shared" si="11"/>
        <v>Not all at least 20</v>
      </c>
    </row>
    <row r="361" spans="1:16" x14ac:dyDescent="0.35">
      <c r="A361" s="5" t="s">
        <v>503</v>
      </c>
      <c r="B361" s="5" t="str">
        <f>VLOOKUP(A361,schools!A361:B2109,2,FALSE)</f>
        <v>Tenn School For Blind</v>
      </c>
      <c r="C361" s="5" t="str">
        <f>VLOOKUP(A361,schools!A361:F2109,5,FALSE)</f>
        <v>Nashville</v>
      </c>
      <c r="D361" s="5" t="s">
        <v>504</v>
      </c>
      <c r="E361" s="5" t="s">
        <v>18</v>
      </c>
      <c r="F361" s="5">
        <v>2</v>
      </c>
      <c r="G361" s="5" t="s">
        <v>44</v>
      </c>
      <c r="H361" s="5" t="s">
        <v>44</v>
      </c>
      <c r="I361" s="5" t="s">
        <v>44</v>
      </c>
      <c r="J361" s="5" t="s">
        <v>44</v>
      </c>
      <c r="K361" s="5" t="s">
        <v>44</v>
      </c>
      <c r="L361" s="5" t="s">
        <v>44</v>
      </c>
      <c r="M361" s="5" t="s">
        <v>44</v>
      </c>
      <c r="N361" s="5" t="s">
        <v>44</v>
      </c>
      <c r="O361" s="5" t="str">
        <f t="shared" si="10"/>
        <v>Score Not Available</v>
      </c>
      <c r="P361" s="5" t="str">
        <f t="shared" si="11"/>
        <v>Not all at least 20</v>
      </c>
    </row>
    <row r="362" spans="1:16" x14ac:dyDescent="0.35">
      <c r="A362" s="5" t="s">
        <v>505</v>
      </c>
      <c r="B362" s="5" t="str">
        <f>VLOOKUP(A362,schools!A362:B2110,2,FALSE)</f>
        <v>Tennessee High School For Deaf</v>
      </c>
      <c r="C362" s="5" t="str">
        <f>VLOOKUP(A362,schools!A362:F2110,5,FALSE)</f>
        <v>Knoxville</v>
      </c>
      <c r="D362" s="5" t="s">
        <v>506</v>
      </c>
      <c r="E362" s="5" t="s">
        <v>18</v>
      </c>
      <c r="F362" s="5">
        <v>10</v>
      </c>
      <c r="G362" s="5">
        <v>91</v>
      </c>
      <c r="H362" s="5">
        <v>10.7</v>
      </c>
      <c r="I362" s="5">
        <v>15</v>
      </c>
      <c r="J362" s="5">
        <v>14</v>
      </c>
      <c r="K362" s="5">
        <v>13.8</v>
      </c>
      <c r="L362" s="5">
        <v>13.6</v>
      </c>
      <c r="M362" s="5" t="s">
        <v>41</v>
      </c>
      <c r="N362" s="5" t="s">
        <v>41</v>
      </c>
      <c r="O362" s="5" t="str">
        <f t="shared" si="10"/>
        <v>Below 20</v>
      </c>
      <c r="P362" s="5" t="str">
        <f t="shared" si="11"/>
        <v>Not all at least 20</v>
      </c>
    </row>
    <row r="363" spans="1:16" x14ac:dyDescent="0.35">
      <c r="A363" s="5" t="s">
        <v>507</v>
      </c>
      <c r="B363" s="5" t="str">
        <f>VLOOKUP(A363,schools!A363:B2111,2,FALSE)</f>
        <v>GRAD Academy Memphis</v>
      </c>
      <c r="C363" s="5" t="str">
        <f>VLOOKUP(A363,schools!A363:F2111,5,FALSE)</f>
        <v>Memphis</v>
      </c>
      <c r="D363" s="5" t="s">
        <v>508</v>
      </c>
      <c r="E363" s="5" t="s">
        <v>18</v>
      </c>
      <c r="F363" s="5">
        <v>123</v>
      </c>
      <c r="G363" s="5">
        <v>99</v>
      </c>
      <c r="H363" s="5">
        <v>14.2</v>
      </c>
      <c r="I363" s="5">
        <v>15.8</v>
      </c>
      <c r="J363" s="5">
        <v>16.3</v>
      </c>
      <c r="K363" s="5">
        <v>16.3</v>
      </c>
      <c r="L363" s="5">
        <v>15.8</v>
      </c>
      <c r="M363" s="5">
        <v>9</v>
      </c>
      <c r="N363" s="5">
        <v>103</v>
      </c>
      <c r="O363" s="5" t="str">
        <f t="shared" si="10"/>
        <v>Below 20</v>
      </c>
      <c r="P363" s="5" t="str">
        <f t="shared" si="11"/>
        <v>Not all at least 20</v>
      </c>
    </row>
    <row r="364" spans="1:16" x14ac:dyDescent="0.35">
      <c r="A364" s="5" t="s">
        <v>509</v>
      </c>
      <c r="B364" s="5" t="str">
        <f>VLOOKUP(A364,schools!A364:B2112,2,FALSE)</f>
        <v>Pathways in Education - TN</v>
      </c>
      <c r="C364" s="5" t="str">
        <f>VLOOKUP(A364,schools!A364:F2112,5,FALSE)</f>
        <v>Memphis</v>
      </c>
      <c r="D364" s="5" t="s">
        <v>508</v>
      </c>
      <c r="E364" s="5" t="s">
        <v>18</v>
      </c>
      <c r="F364" s="5">
        <v>8</v>
      </c>
      <c r="G364" s="5" t="s">
        <v>44</v>
      </c>
      <c r="H364" s="5" t="s">
        <v>44</v>
      </c>
      <c r="I364" s="5" t="s">
        <v>44</v>
      </c>
      <c r="J364" s="5" t="s">
        <v>44</v>
      </c>
      <c r="K364" s="5" t="s">
        <v>44</v>
      </c>
      <c r="L364" s="5" t="s">
        <v>44</v>
      </c>
      <c r="M364" s="5" t="s">
        <v>44</v>
      </c>
      <c r="N364" s="5" t="s">
        <v>44</v>
      </c>
      <c r="O364" s="5" t="str">
        <f t="shared" si="10"/>
        <v>Score Not Available</v>
      </c>
      <c r="P364" s="5" t="str">
        <f t="shared" si="11"/>
        <v>Not all at least 20</v>
      </c>
    </row>
    <row r="365" spans="1:16" x14ac:dyDescent="0.35">
      <c r="A365" s="5" t="s">
        <v>510</v>
      </c>
      <c r="B365" s="5" t="str">
        <f>VLOOKUP(A365,schools!A365:B2113,2,FALSE)</f>
        <v>Pathways in Education - Whitehaven</v>
      </c>
      <c r="C365" s="5" t="str">
        <f>VLOOKUP(A365,schools!A365:F2113,5,FALSE)</f>
        <v>Memphis</v>
      </c>
      <c r="D365" s="5" t="s">
        <v>508</v>
      </c>
      <c r="E365" s="5" t="s">
        <v>18</v>
      </c>
      <c r="F365" s="5">
        <v>5</v>
      </c>
      <c r="G365" s="5" t="s">
        <v>44</v>
      </c>
      <c r="H365" s="5" t="s">
        <v>44</v>
      </c>
      <c r="I365" s="5" t="s">
        <v>44</v>
      </c>
      <c r="J365" s="5" t="s">
        <v>44</v>
      </c>
      <c r="K365" s="5" t="s">
        <v>44</v>
      </c>
      <c r="L365" s="5" t="s">
        <v>44</v>
      </c>
      <c r="M365" s="5" t="s">
        <v>44</v>
      </c>
      <c r="N365" s="5" t="s">
        <v>44</v>
      </c>
      <c r="O365" s="5" t="str">
        <f t="shared" si="10"/>
        <v>Score Not Available</v>
      </c>
      <c r="P365" s="5" t="str">
        <f t="shared" si="11"/>
        <v>Not all at least 20</v>
      </c>
    </row>
    <row r="366" spans="1:16" x14ac:dyDescent="0.35">
      <c r="A366" s="5" t="s">
        <v>511</v>
      </c>
      <c r="B366" s="5" t="str">
        <f>VLOOKUP(A366,schools!A366:B2114,2,FALSE)</f>
        <v>Fairley High School</v>
      </c>
      <c r="C366" s="5" t="str">
        <f>VLOOKUP(A366,schools!A366:F2114,5,FALSE)</f>
        <v>Memphis</v>
      </c>
      <c r="D366" s="5" t="s">
        <v>508</v>
      </c>
      <c r="E366" s="5" t="s">
        <v>18</v>
      </c>
      <c r="F366" s="5">
        <v>90</v>
      </c>
      <c r="G366" s="5">
        <v>64</v>
      </c>
      <c r="H366" s="5">
        <v>13.9</v>
      </c>
      <c r="I366" s="5">
        <v>15.7</v>
      </c>
      <c r="J366" s="5">
        <v>15.4</v>
      </c>
      <c r="K366" s="5">
        <v>15.8</v>
      </c>
      <c r="L366" s="5">
        <v>15.4</v>
      </c>
      <c r="M366" s="5">
        <v>5</v>
      </c>
      <c r="N366" s="5">
        <v>80</v>
      </c>
      <c r="O366" s="5" t="str">
        <f t="shared" si="10"/>
        <v>Below 20</v>
      </c>
      <c r="P366" s="5" t="str">
        <f t="shared" si="11"/>
        <v>Not all at least 20</v>
      </c>
    </row>
    <row r="367" spans="1:16" x14ac:dyDescent="0.35">
      <c r="A367" s="5" t="s">
        <v>512</v>
      </c>
      <c r="B367" s="5" t="str">
        <f>VLOOKUP(A367,schools!A367:B2115,2,FALSE)</f>
        <v>Martin Luther King Preparatory High School</v>
      </c>
      <c r="C367" s="5" t="str">
        <f>VLOOKUP(A367,schools!A367:F2115,5,FALSE)</f>
        <v>Memphis</v>
      </c>
      <c r="D367" s="5" t="s">
        <v>508</v>
      </c>
      <c r="E367" s="5" t="s">
        <v>18</v>
      </c>
      <c r="F367" s="5">
        <v>88</v>
      </c>
      <c r="G367" s="5">
        <v>84</v>
      </c>
      <c r="H367" s="5">
        <v>14.2</v>
      </c>
      <c r="I367" s="5">
        <v>15.5</v>
      </c>
      <c r="J367" s="5">
        <v>16</v>
      </c>
      <c r="K367" s="5">
        <v>15.7</v>
      </c>
      <c r="L367" s="5">
        <v>15.5</v>
      </c>
      <c r="M367" s="5">
        <v>5</v>
      </c>
      <c r="N367" s="5">
        <v>80</v>
      </c>
      <c r="O367" s="5" t="str">
        <f t="shared" si="10"/>
        <v>Below 20</v>
      </c>
      <c r="P367" s="5" t="str">
        <f t="shared" si="11"/>
        <v>Not all at least 20</v>
      </c>
    </row>
    <row r="368" spans="1:16" x14ac:dyDescent="0.35">
      <c r="A368" s="5" t="s">
        <v>513</v>
      </c>
      <c r="B368" s="5" t="str">
        <f>VLOOKUP(A368,schools!A368:B2116,2,FALSE)</f>
        <v>Hillcrest High School</v>
      </c>
      <c r="C368" s="5" t="str">
        <f>VLOOKUP(A368,schools!A368:F2116,5,FALSE)</f>
        <v>Memphis</v>
      </c>
      <c r="D368" s="5" t="s">
        <v>508</v>
      </c>
      <c r="E368" s="5" t="s">
        <v>18</v>
      </c>
      <c r="F368" s="5">
        <v>81</v>
      </c>
      <c r="G368" s="5">
        <v>88</v>
      </c>
      <c r="H368" s="5">
        <v>13.9</v>
      </c>
      <c r="I368" s="5">
        <v>15.5</v>
      </c>
      <c r="J368" s="5">
        <v>15.3</v>
      </c>
      <c r="K368" s="5">
        <v>15.8</v>
      </c>
      <c r="L368" s="5">
        <v>15.3</v>
      </c>
      <c r="M368" s="5" t="s">
        <v>41</v>
      </c>
      <c r="N368" s="5" t="s">
        <v>41</v>
      </c>
      <c r="O368" s="5" t="str">
        <f t="shared" si="10"/>
        <v>Below 20</v>
      </c>
      <c r="P368" s="5" t="str">
        <f t="shared" si="11"/>
        <v>Not all at least 20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50"/>
  <sheetViews>
    <sheetView zoomScaleNormal="100" workbookViewId="0">
      <selection activeCell="C2" sqref="C2"/>
    </sheetView>
  </sheetViews>
  <sheetFormatPr defaultColWidth="8.54296875" defaultRowHeight="14.5" x14ac:dyDescent="0.35"/>
  <cols>
    <col min="2" max="2" width="55.81640625" customWidth="1"/>
    <col min="3" max="3" width="16.26953125" customWidth="1"/>
    <col min="4" max="4" width="38.26953125" customWidth="1"/>
    <col min="5" max="5" width="23.81640625" customWidth="1"/>
  </cols>
  <sheetData>
    <row r="1" spans="1:8" x14ac:dyDescent="0.35">
      <c r="A1" t="s">
        <v>0</v>
      </c>
      <c r="B1" s="1" t="s">
        <v>1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519</v>
      </c>
    </row>
    <row r="2" spans="1:8" x14ac:dyDescent="0.35">
      <c r="A2" s="1" t="s">
        <v>16</v>
      </c>
      <c r="B2" s="1" t="s">
        <v>520</v>
      </c>
      <c r="C2" s="1" t="s">
        <v>521</v>
      </c>
      <c r="D2" s="1" t="s">
        <v>522</v>
      </c>
      <c r="E2" s="1" t="s">
        <v>523</v>
      </c>
      <c r="F2" s="1" t="s">
        <v>524</v>
      </c>
      <c r="G2" s="1">
        <v>37716</v>
      </c>
      <c r="H2" s="1" t="s">
        <v>525</v>
      </c>
    </row>
    <row r="3" spans="1:8" x14ac:dyDescent="0.35">
      <c r="A3" s="1" t="s">
        <v>526</v>
      </c>
      <c r="B3" s="1" t="s">
        <v>527</v>
      </c>
      <c r="C3" s="1" t="s">
        <v>521</v>
      </c>
      <c r="D3" s="1" t="s">
        <v>528</v>
      </c>
      <c r="E3" s="1" t="s">
        <v>529</v>
      </c>
      <c r="F3" s="1" t="s">
        <v>524</v>
      </c>
      <c r="G3" s="1">
        <v>37705</v>
      </c>
      <c r="H3" s="1" t="s">
        <v>525</v>
      </c>
    </row>
    <row r="4" spans="1:8" x14ac:dyDescent="0.35">
      <c r="A4" s="1" t="s">
        <v>530</v>
      </c>
      <c r="B4" s="1" t="s">
        <v>531</v>
      </c>
      <c r="C4" s="1" t="s">
        <v>521</v>
      </c>
      <c r="D4" s="1" t="s">
        <v>532</v>
      </c>
      <c r="E4" s="1" t="s">
        <v>533</v>
      </c>
      <c r="F4" s="1" t="s">
        <v>524</v>
      </c>
      <c r="G4" s="1">
        <v>37710</v>
      </c>
      <c r="H4" s="1" t="s">
        <v>525</v>
      </c>
    </row>
    <row r="5" spans="1:8" x14ac:dyDescent="0.35">
      <c r="A5" s="1" t="s">
        <v>534</v>
      </c>
      <c r="B5" s="1" t="s">
        <v>535</v>
      </c>
      <c r="C5" s="1" t="s">
        <v>521</v>
      </c>
      <c r="D5" s="1" t="s">
        <v>536</v>
      </c>
      <c r="E5" s="1" t="s">
        <v>537</v>
      </c>
      <c r="F5" s="1" t="s">
        <v>524</v>
      </c>
      <c r="G5" s="1">
        <v>37849</v>
      </c>
      <c r="H5" s="1" t="s">
        <v>525</v>
      </c>
    </row>
    <row r="6" spans="1:8" x14ac:dyDescent="0.35">
      <c r="A6" s="1" t="s">
        <v>538</v>
      </c>
      <c r="B6" s="1" t="s">
        <v>539</v>
      </c>
      <c r="C6" s="1" t="s">
        <v>521</v>
      </c>
      <c r="D6" s="1" t="s">
        <v>540</v>
      </c>
      <c r="E6" s="1" t="s">
        <v>523</v>
      </c>
      <c r="F6" s="1" t="s">
        <v>524</v>
      </c>
      <c r="G6" s="1">
        <v>37716</v>
      </c>
      <c r="H6" s="1" t="s">
        <v>525</v>
      </c>
    </row>
    <row r="7" spans="1:8" x14ac:dyDescent="0.35">
      <c r="A7" s="1" t="s">
        <v>19</v>
      </c>
      <c r="B7" s="1" t="s">
        <v>541</v>
      </c>
      <c r="C7" s="1" t="s">
        <v>521</v>
      </c>
      <c r="D7" s="1" t="s">
        <v>542</v>
      </c>
      <c r="E7" s="1" t="s">
        <v>523</v>
      </c>
      <c r="F7" s="1" t="s">
        <v>524</v>
      </c>
      <c r="G7" s="1">
        <v>37716</v>
      </c>
      <c r="H7" s="1" t="s">
        <v>525</v>
      </c>
    </row>
    <row r="8" spans="1:8" x14ac:dyDescent="0.35">
      <c r="A8" s="1" t="s">
        <v>543</v>
      </c>
      <c r="B8" s="1" t="s">
        <v>544</v>
      </c>
      <c r="C8" s="1" t="s">
        <v>521</v>
      </c>
      <c r="D8" s="1" t="s">
        <v>545</v>
      </c>
      <c r="E8" s="1" t="s">
        <v>523</v>
      </c>
      <c r="F8" s="1" t="s">
        <v>524</v>
      </c>
      <c r="G8" s="1">
        <v>37716</v>
      </c>
      <c r="H8" s="1" t="s">
        <v>525</v>
      </c>
    </row>
    <row r="9" spans="1:8" x14ac:dyDescent="0.35">
      <c r="A9" s="1" t="s">
        <v>546</v>
      </c>
      <c r="B9" s="1" t="s">
        <v>547</v>
      </c>
      <c r="C9" s="1" t="s">
        <v>521</v>
      </c>
      <c r="D9" s="1" t="s">
        <v>548</v>
      </c>
      <c r="E9" s="1" t="s">
        <v>549</v>
      </c>
      <c r="F9" s="1" t="s">
        <v>524</v>
      </c>
      <c r="G9" s="1">
        <v>37754</v>
      </c>
      <c r="H9" s="1" t="s">
        <v>525</v>
      </c>
    </row>
    <row r="10" spans="1:8" x14ac:dyDescent="0.35">
      <c r="A10" s="1" t="s">
        <v>550</v>
      </c>
      <c r="B10" s="1" t="s">
        <v>551</v>
      </c>
      <c r="C10" s="1" t="s">
        <v>521</v>
      </c>
      <c r="D10" s="1" t="s">
        <v>552</v>
      </c>
      <c r="E10" s="1" t="s">
        <v>523</v>
      </c>
      <c r="F10" s="1" t="s">
        <v>524</v>
      </c>
      <c r="G10" s="1">
        <v>37716</v>
      </c>
      <c r="H10" s="1" t="s">
        <v>525</v>
      </c>
    </row>
    <row r="11" spans="1:8" x14ac:dyDescent="0.35">
      <c r="A11" s="1" t="s">
        <v>553</v>
      </c>
      <c r="B11" s="1" t="s">
        <v>554</v>
      </c>
      <c r="C11" s="1" t="s">
        <v>521</v>
      </c>
      <c r="D11" s="1" t="s">
        <v>555</v>
      </c>
      <c r="E11" s="1" t="s">
        <v>556</v>
      </c>
      <c r="F11" s="1" t="s">
        <v>524</v>
      </c>
      <c r="G11" s="1">
        <v>37769</v>
      </c>
      <c r="H11" s="1" t="s">
        <v>525</v>
      </c>
    </row>
    <row r="12" spans="1:8" x14ac:dyDescent="0.35">
      <c r="A12" s="1" t="s">
        <v>557</v>
      </c>
      <c r="B12" s="1" t="s">
        <v>558</v>
      </c>
      <c r="C12" s="1" t="s">
        <v>521</v>
      </c>
      <c r="D12" s="1" t="s">
        <v>559</v>
      </c>
      <c r="E12" s="1" t="s">
        <v>556</v>
      </c>
      <c r="F12" s="1" t="s">
        <v>524</v>
      </c>
      <c r="G12" s="1">
        <v>37769</v>
      </c>
      <c r="H12" s="1" t="s">
        <v>525</v>
      </c>
    </row>
    <row r="13" spans="1:8" x14ac:dyDescent="0.35">
      <c r="A13" s="1" t="s">
        <v>560</v>
      </c>
      <c r="B13" s="1" t="s">
        <v>561</v>
      </c>
      <c r="C13" s="1" t="s">
        <v>521</v>
      </c>
      <c r="D13" s="1" t="s">
        <v>562</v>
      </c>
      <c r="E13" s="1" t="s">
        <v>563</v>
      </c>
      <c r="F13" s="1" t="s">
        <v>524</v>
      </c>
      <c r="G13" s="1">
        <v>37828</v>
      </c>
      <c r="H13" s="1" t="s">
        <v>525</v>
      </c>
    </row>
    <row r="14" spans="1:8" x14ac:dyDescent="0.35">
      <c r="A14" s="1" t="s">
        <v>564</v>
      </c>
      <c r="B14" s="1" t="s">
        <v>565</v>
      </c>
      <c r="C14" s="1" t="s">
        <v>521</v>
      </c>
      <c r="D14" s="1" t="s">
        <v>566</v>
      </c>
      <c r="E14" s="1" t="s">
        <v>563</v>
      </c>
      <c r="F14" s="1" t="s">
        <v>524</v>
      </c>
      <c r="G14" s="1">
        <v>37828</v>
      </c>
      <c r="H14" s="1" t="s">
        <v>525</v>
      </c>
    </row>
    <row r="15" spans="1:8" x14ac:dyDescent="0.35">
      <c r="A15" s="1" t="s">
        <v>567</v>
      </c>
      <c r="B15" s="1" t="s">
        <v>568</v>
      </c>
      <c r="C15" s="1" t="s">
        <v>521</v>
      </c>
      <c r="D15" s="1" t="s">
        <v>569</v>
      </c>
      <c r="E15" s="1" t="s">
        <v>570</v>
      </c>
      <c r="F15" s="1" t="s">
        <v>524</v>
      </c>
      <c r="G15" s="1">
        <v>37840</v>
      </c>
      <c r="H15" s="1" t="s">
        <v>525</v>
      </c>
    </row>
    <row r="16" spans="1:8" x14ac:dyDescent="0.35">
      <c r="A16" s="1" t="s">
        <v>571</v>
      </c>
      <c r="B16" s="1" t="s">
        <v>572</v>
      </c>
      <c r="C16" s="1" t="s">
        <v>521</v>
      </c>
      <c r="D16" s="1" t="s">
        <v>573</v>
      </c>
      <c r="E16" s="1" t="s">
        <v>570</v>
      </c>
      <c r="F16" s="1" t="s">
        <v>524</v>
      </c>
      <c r="G16" s="1">
        <v>37840</v>
      </c>
      <c r="H16" s="1" t="s">
        <v>525</v>
      </c>
    </row>
    <row r="17" spans="1:8" x14ac:dyDescent="0.35">
      <c r="A17" s="1" t="s">
        <v>574</v>
      </c>
      <c r="B17" s="1" t="s">
        <v>575</v>
      </c>
      <c r="C17" s="1" t="s">
        <v>521</v>
      </c>
      <c r="D17" s="1" t="s">
        <v>576</v>
      </c>
      <c r="E17" s="1" t="s">
        <v>523</v>
      </c>
      <c r="F17" s="1" t="s">
        <v>524</v>
      </c>
      <c r="G17" s="1">
        <v>37716</v>
      </c>
      <c r="H17" s="1" t="s">
        <v>525</v>
      </c>
    </row>
    <row r="18" spans="1:8" x14ac:dyDescent="0.35">
      <c r="A18" s="1" t="s">
        <v>577</v>
      </c>
      <c r="B18" s="1" t="s">
        <v>578</v>
      </c>
      <c r="C18" s="1" t="s">
        <v>521</v>
      </c>
      <c r="D18" s="1" t="s">
        <v>579</v>
      </c>
      <c r="E18" s="1" t="s">
        <v>523</v>
      </c>
      <c r="F18" s="1" t="s">
        <v>524</v>
      </c>
      <c r="G18" s="1">
        <v>37716</v>
      </c>
      <c r="H18" s="1" t="s">
        <v>525</v>
      </c>
    </row>
    <row r="19" spans="1:8" x14ac:dyDescent="0.35">
      <c r="A19" s="1" t="s">
        <v>580</v>
      </c>
      <c r="B19" s="1" t="s">
        <v>581</v>
      </c>
      <c r="C19" s="1" t="s">
        <v>521</v>
      </c>
      <c r="D19" s="1" t="s">
        <v>582</v>
      </c>
      <c r="E19" s="1" t="s">
        <v>523</v>
      </c>
      <c r="F19" s="1" t="s">
        <v>524</v>
      </c>
      <c r="G19" s="1">
        <v>37716</v>
      </c>
      <c r="H19" s="1" t="s">
        <v>525</v>
      </c>
    </row>
    <row r="20" spans="1:8" x14ac:dyDescent="0.35">
      <c r="A20" s="1" t="s">
        <v>583</v>
      </c>
      <c r="B20" s="1" t="s">
        <v>584</v>
      </c>
      <c r="C20" s="1" t="s">
        <v>521</v>
      </c>
      <c r="D20" s="1" t="s">
        <v>585</v>
      </c>
      <c r="E20" s="1" t="s">
        <v>523</v>
      </c>
      <c r="F20" s="1" t="s">
        <v>524</v>
      </c>
      <c r="G20" s="1">
        <v>37716</v>
      </c>
      <c r="H20" s="1" t="s">
        <v>525</v>
      </c>
    </row>
    <row r="21" spans="1:8" x14ac:dyDescent="0.35">
      <c r="A21" s="1" t="s">
        <v>586</v>
      </c>
      <c r="B21" s="1" t="s">
        <v>587</v>
      </c>
      <c r="C21" s="1" t="s">
        <v>521</v>
      </c>
      <c r="D21" s="1" t="s">
        <v>588</v>
      </c>
      <c r="E21" s="1" t="s">
        <v>21</v>
      </c>
      <c r="F21" s="1" t="s">
        <v>524</v>
      </c>
      <c r="G21" s="1">
        <v>37830</v>
      </c>
      <c r="H21" s="1" t="s">
        <v>525</v>
      </c>
    </row>
    <row r="22" spans="1:8" x14ac:dyDescent="0.35">
      <c r="A22" s="1" t="s">
        <v>589</v>
      </c>
      <c r="B22" s="1" t="s">
        <v>590</v>
      </c>
      <c r="C22" s="1" t="s">
        <v>521</v>
      </c>
      <c r="D22" s="1" t="s">
        <v>591</v>
      </c>
      <c r="E22" s="1" t="s">
        <v>21</v>
      </c>
      <c r="F22" s="1" t="s">
        <v>524</v>
      </c>
      <c r="G22" s="1">
        <v>37830</v>
      </c>
      <c r="H22" s="1" t="s">
        <v>525</v>
      </c>
    </row>
    <row r="23" spans="1:8" x14ac:dyDescent="0.35">
      <c r="A23" s="1" t="s">
        <v>592</v>
      </c>
      <c r="B23" s="1" t="s">
        <v>593</v>
      </c>
      <c r="C23" s="1" t="s">
        <v>521</v>
      </c>
      <c r="D23" s="1" t="s">
        <v>594</v>
      </c>
      <c r="E23" s="1" t="s">
        <v>21</v>
      </c>
      <c r="F23" s="1" t="s">
        <v>524</v>
      </c>
      <c r="G23" s="1">
        <v>37830</v>
      </c>
      <c r="H23" s="1" t="s">
        <v>525</v>
      </c>
    </row>
    <row r="24" spans="1:8" x14ac:dyDescent="0.35">
      <c r="A24" s="1" t="s">
        <v>20</v>
      </c>
      <c r="B24" s="1" t="s">
        <v>595</v>
      </c>
      <c r="C24" s="1" t="s">
        <v>521</v>
      </c>
      <c r="D24" s="1" t="s">
        <v>596</v>
      </c>
      <c r="E24" s="1" t="s">
        <v>21</v>
      </c>
      <c r="F24" s="1" t="s">
        <v>524</v>
      </c>
      <c r="G24" s="1">
        <v>37830</v>
      </c>
      <c r="H24" s="1" t="s">
        <v>525</v>
      </c>
    </row>
    <row r="25" spans="1:8" x14ac:dyDescent="0.35">
      <c r="A25" s="1" t="s">
        <v>597</v>
      </c>
      <c r="B25" s="1" t="s">
        <v>598</v>
      </c>
      <c r="C25" s="1" t="s">
        <v>521</v>
      </c>
      <c r="D25" s="1" t="s">
        <v>599</v>
      </c>
      <c r="E25" s="1" t="s">
        <v>21</v>
      </c>
      <c r="F25" s="1" t="s">
        <v>524</v>
      </c>
      <c r="G25" s="1">
        <v>37830</v>
      </c>
      <c r="H25" s="1" t="s">
        <v>525</v>
      </c>
    </row>
    <row r="26" spans="1:8" x14ac:dyDescent="0.35">
      <c r="A26" s="1" t="s">
        <v>600</v>
      </c>
      <c r="B26" s="1" t="s">
        <v>601</v>
      </c>
      <c r="C26" s="1" t="s">
        <v>521</v>
      </c>
      <c r="D26" s="1" t="s">
        <v>602</v>
      </c>
      <c r="E26" s="1" t="s">
        <v>21</v>
      </c>
      <c r="F26" s="1" t="s">
        <v>524</v>
      </c>
      <c r="G26" s="1">
        <v>37830</v>
      </c>
      <c r="H26" s="1" t="s">
        <v>525</v>
      </c>
    </row>
    <row r="27" spans="1:8" x14ac:dyDescent="0.35">
      <c r="A27" s="1" t="s">
        <v>603</v>
      </c>
      <c r="B27" s="1" t="s">
        <v>604</v>
      </c>
      <c r="C27" s="1" t="s">
        <v>521</v>
      </c>
      <c r="D27" s="1" t="s">
        <v>605</v>
      </c>
      <c r="E27" s="1" t="s">
        <v>21</v>
      </c>
      <c r="F27" s="1" t="s">
        <v>524</v>
      </c>
      <c r="G27" s="1">
        <v>37830</v>
      </c>
      <c r="H27" s="1" t="s">
        <v>525</v>
      </c>
    </row>
    <row r="28" spans="1:8" x14ac:dyDescent="0.35">
      <c r="A28" s="1" t="s">
        <v>606</v>
      </c>
      <c r="B28" s="1" t="s">
        <v>607</v>
      </c>
      <c r="C28" s="1" t="s">
        <v>521</v>
      </c>
      <c r="D28" s="1" t="s">
        <v>608</v>
      </c>
      <c r="E28" s="1" t="s">
        <v>609</v>
      </c>
      <c r="F28" s="1" t="s">
        <v>524</v>
      </c>
      <c r="G28" s="1">
        <v>37183</v>
      </c>
      <c r="H28" s="1" t="s">
        <v>525</v>
      </c>
    </row>
    <row r="29" spans="1:8" x14ac:dyDescent="0.35">
      <c r="A29" s="1" t="s">
        <v>22</v>
      </c>
      <c r="B29" s="1" t="s">
        <v>610</v>
      </c>
      <c r="C29" s="1" t="s">
        <v>521</v>
      </c>
      <c r="D29" s="1" t="s">
        <v>611</v>
      </c>
      <c r="E29" s="1" t="s">
        <v>609</v>
      </c>
      <c r="F29" s="1" t="s">
        <v>524</v>
      </c>
      <c r="G29" s="1">
        <v>37183</v>
      </c>
      <c r="H29" s="1" t="s">
        <v>525</v>
      </c>
    </row>
    <row r="30" spans="1:8" x14ac:dyDescent="0.35">
      <c r="A30" s="1" t="s">
        <v>612</v>
      </c>
      <c r="B30" s="1" t="s">
        <v>613</v>
      </c>
      <c r="C30" s="1" t="s">
        <v>521</v>
      </c>
      <c r="D30" s="1" t="s">
        <v>614</v>
      </c>
      <c r="E30" s="1" t="s">
        <v>615</v>
      </c>
      <c r="F30" s="1" t="s">
        <v>524</v>
      </c>
      <c r="G30" s="1">
        <v>37160</v>
      </c>
      <c r="H30" s="1" t="s">
        <v>525</v>
      </c>
    </row>
    <row r="31" spans="1:8" x14ac:dyDescent="0.35">
      <c r="A31" s="1" t="s">
        <v>616</v>
      </c>
      <c r="B31" s="1" t="s">
        <v>617</v>
      </c>
      <c r="C31" s="1" t="s">
        <v>521</v>
      </c>
      <c r="D31" s="1" t="s">
        <v>618</v>
      </c>
      <c r="E31" s="1" t="s">
        <v>609</v>
      </c>
      <c r="F31" s="1" t="s">
        <v>524</v>
      </c>
      <c r="G31" s="1">
        <v>37183</v>
      </c>
      <c r="H31" s="1" t="s">
        <v>525</v>
      </c>
    </row>
    <row r="32" spans="1:8" x14ac:dyDescent="0.35">
      <c r="A32" s="1" t="s">
        <v>24</v>
      </c>
      <c r="B32" s="1" t="s">
        <v>619</v>
      </c>
      <c r="C32" s="1" t="s">
        <v>521</v>
      </c>
      <c r="D32" s="1" t="s">
        <v>620</v>
      </c>
      <c r="E32" s="1" t="s">
        <v>615</v>
      </c>
      <c r="F32" s="1" t="s">
        <v>524</v>
      </c>
      <c r="G32" s="1">
        <v>37160</v>
      </c>
      <c r="H32" s="1" t="s">
        <v>525</v>
      </c>
    </row>
    <row r="33" spans="1:8" x14ac:dyDescent="0.35">
      <c r="A33" s="1" t="s">
        <v>621</v>
      </c>
      <c r="B33" s="1" t="s">
        <v>622</v>
      </c>
      <c r="C33" s="1" t="s">
        <v>521</v>
      </c>
      <c r="D33" s="1" t="s">
        <v>623</v>
      </c>
      <c r="E33" s="1" t="s">
        <v>615</v>
      </c>
      <c r="F33" s="1" t="s">
        <v>524</v>
      </c>
      <c r="G33" s="1">
        <v>37160</v>
      </c>
      <c r="H33" s="1" t="s">
        <v>525</v>
      </c>
    </row>
    <row r="34" spans="1:8" x14ac:dyDescent="0.35">
      <c r="A34" s="1" t="s">
        <v>624</v>
      </c>
      <c r="B34" s="1" t="s">
        <v>625</v>
      </c>
      <c r="C34" s="1" t="s">
        <v>521</v>
      </c>
      <c r="D34" s="1" t="s">
        <v>626</v>
      </c>
      <c r="E34" s="1" t="s">
        <v>627</v>
      </c>
      <c r="F34" s="1" t="s">
        <v>524</v>
      </c>
      <c r="G34" s="1">
        <v>37180</v>
      </c>
      <c r="H34" s="1" t="s">
        <v>525</v>
      </c>
    </row>
    <row r="35" spans="1:8" x14ac:dyDescent="0.35">
      <c r="A35" s="1" t="s">
        <v>25</v>
      </c>
      <c r="B35" s="1" t="s">
        <v>628</v>
      </c>
      <c r="C35" s="1" t="s">
        <v>521</v>
      </c>
      <c r="D35" s="1" t="s">
        <v>629</v>
      </c>
      <c r="E35" s="1" t="s">
        <v>627</v>
      </c>
      <c r="F35" s="1" t="s">
        <v>524</v>
      </c>
      <c r="G35" s="1">
        <v>37180</v>
      </c>
      <c r="H35" s="1" t="s">
        <v>525</v>
      </c>
    </row>
    <row r="36" spans="1:8" x14ac:dyDescent="0.35">
      <c r="A36" s="1" t="s">
        <v>630</v>
      </c>
      <c r="B36" s="1" t="s">
        <v>631</v>
      </c>
      <c r="C36" s="1" t="s">
        <v>521</v>
      </c>
      <c r="D36" s="1" t="s">
        <v>632</v>
      </c>
      <c r="E36" s="1" t="s">
        <v>627</v>
      </c>
      <c r="F36" s="1" t="s">
        <v>524</v>
      </c>
      <c r="G36" s="1">
        <v>37180</v>
      </c>
      <c r="H36" s="1" t="s">
        <v>525</v>
      </c>
    </row>
    <row r="37" spans="1:8" x14ac:dyDescent="0.35">
      <c r="A37" s="1" t="s">
        <v>633</v>
      </c>
      <c r="B37" s="1" t="s">
        <v>634</v>
      </c>
      <c r="C37" s="1" t="s">
        <v>521</v>
      </c>
      <c r="D37" s="1" t="s">
        <v>635</v>
      </c>
      <c r="E37" s="1" t="s">
        <v>615</v>
      </c>
      <c r="F37" s="1" t="s">
        <v>524</v>
      </c>
      <c r="G37" s="1">
        <v>37160</v>
      </c>
      <c r="H37" s="1" t="s">
        <v>525</v>
      </c>
    </row>
    <row r="38" spans="1:8" x14ac:dyDescent="0.35">
      <c r="A38" s="1" t="s">
        <v>636</v>
      </c>
      <c r="B38" s="1" t="s">
        <v>637</v>
      </c>
      <c r="C38" s="1" t="s">
        <v>521</v>
      </c>
      <c r="D38" s="1" t="s">
        <v>638</v>
      </c>
      <c r="E38" s="1" t="s">
        <v>615</v>
      </c>
      <c r="F38" s="1" t="s">
        <v>524</v>
      </c>
      <c r="G38" s="1">
        <v>37160</v>
      </c>
      <c r="H38" s="1" t="s">
        <v>525</v>
      </c>
    </row>
    <row r="39" spans="1:8" x14ac:dyDescent="0.35">
      <c r="A39" s="1" t="s">
        <v>639</v>
      </c>
      <c r="B39" s="1" t="s">
        <v>640</v>
      </c>
      <c r="C39" s="1" t="s">
        <v>521</v>
      </c>
      <c r="D39" s="1" t="s">
        <v>641</v>
      </c>
      <c r="E39" s="1" t="s">
        <v>615</v>
      </c>
      <c r="F39" s="1" t="s">
        <v>524</v>
      </c>
      <c r="G39" s="1">
        <v>37160</v>
      </c>
      <c r="H39" s="1" t="s">
        <v>525</v>
      </c>
    </row>
    <row r="40" spans="1:8" x14ac:dyDescent="0.35">
      <c r="A40" s="1" t="s">
        <v>642</v>
      </c>
      <c r="B40" s="1" t="s">
        <v>643</v>
      </c>
      <c r="C40" s="1" t="s">
        <v>521</v>
      </c>
      <c r="D40" s="1" t="s">
        <v>644</v>
      </c>
      <c r="E40" s="1" t="s">
        <v>615</v>
      </c>
      <c r="F40" s="1" t="s">
        <v>524</v>
      </c>
      <c r="G40" s="1">
        <v>37160</v>
      </c>
      <c r="H40" s="1" t="s">
        <v>525</v>
      </c>
    </row>
    <row r="41" spans="1:8" x14ac:dyDescent="0.35">
      <c r="A41" s="1" t="s">
        <v>645</v>
      </c>
      <c r="B41" s="1" t="s">
        <v>646</v>
      </c>
      <c r="C41" s="1" t="s">
        <v>521</v>
      </c>
      <c r="D41" s="1" t="s">
        <v>647</v>
      </c>
      <c r="E41" s="1" t="s">
        <v>615</v>
      </c>
      <c r="F41" s="1" t="s">
        <v>524</v>
      </c>
      <c r="G41" s="1">
        <v>37160</v>
      </c>
      <c r="H41" s="1" t="s">
        <v>525</v>
      </c>
    </row>
    <row r="42" spans="1:8" x14ac:dyDescent="0.35">
      <c r="A42" s="1" t="s">
        <v>26</v>
      </c>
      <c r="B42" s="1" t="s">
        <v>648</v>
      </c>
      <c r="C42" s="1" t="s">
        <v>521</v>
      </c>
      <c r="D42" s="1" t="s">
        <v>649</v>
      </c>
      <c r="E42" s="1" t="s">
        <v>650</v>
      </c>
      <c r="F42" s="1" t="s">
        <v>524</v>
      </c>
      <c r="G42" s="1">
        <v>38221</v>
      </c>
      <c r="H42" s="1" t="s">
        <v>525</v>
      </c>
    </row>
    <row r="43" spans="1:8" x14ac:dyDescent="0.35">
      <c r="A43" s="1" t="s">
        <v>651</v>
      </c>
      <c r="B43" s="1" t="s">
        <v>652</v>
      </c>
      <c r="C43" s="1" t="s">
        <v>521</v>
      </c>
      <c r="D43" s="1" t="s">
        <v>653</v>
      </c>
      <c r="E43" s="1" t="s">
        <v>654</v>
      </c>
      <c r="F43" s="1" t="s">
        <v>524</v>
      </c>
      <c r="G43" s="1">
        <v>38320</v>
      </c>
      <c r="H43" s="1" t="s">
        <v>525</v>
      </c>
    </row>
    <row r="44" spans="1:8" x14ac:dyDescent="0.35">
      <c r="A44" s="1" t="s">
        <v>655</v>
      </c>
      <c r="B44" s="1" t="s">
        <v>656</v>
      </c>
      <c r="C44" s="1" t="s">
        <v>521</v>
      </c>
      <c r="D44" s="1" t="s">
        <v>657</v>
      </c>
      <c r="E44" s="1" t="s">
        <v>654</v>
      </c>
      <c r="F44" s="1" t="s">
        <v>524</v>
      </c>
      <c r="G44" s="1">
        <v>38320</v>
      </c>
      <c r="H44" s="1" t="s">
        <v>525</v>
      </c>
    </row>
    <row r="45" spans="1:8" x14ac:dyDescent="0.35">
      <c r="A45" s="1" t="s">
        <v>28</v>
      </c>
      <c r="B45" s="1" t="s">
        <v>658</v>
      </c>
      <c r="C45" s="1" t="s">
        <v>521</v>
      </c>
      <c r="D45" s="1" t="s">
        <v>659</v>
      </c>
      <c r="E45" s="1" t="s">
        <v>654</v>
      </c>
      <c r="F45" s="1" t="s">
        <v>524</v>
      </c>
      <c r="G45" s="1">
        <v>38320</v>
      </c>
      <c r="H45" s="1" t="s">
        <v>525</v>
      </c>
    </row>
    <row r="46" spans="1:8" x14ac:dyDescent="0.35">
      <c r="A46" s="1" t="s">
        <v>660</v>
      </c>
      <c r="B46" s="1" t="s">
        <v>661</v>
      </c>
      <c r="C46" s="1" t="s">
        <v>521</v>
      </c>
      <c r="D46" s="1" t="s">
        <v>662</v>
      </c>
      <c r="E46" s="1" t="s">
        <v>654</v>
      </c>
      <c r="F46" s="1" t="s">
        <v>524</v>
      </c>
      <c r="G46" s="1">
        <v>38320</v>
      </c>
      <c r="H46" s="1" t="s">
        <v>525</v>
      </c>
    </row>
    <row r="47" spans="1:8" x14ac:dyDescent="0.35">
      <c r="A47" s="1" t="s">
        <v>663</v>
      </c>
      <c r="B47" s="1" t="s">
        <v>664</v>
      </c>
      <c r="C47" s="1" t="s">
        <v>521</v>
      </c>
      <c r="D47" s="1" t="s">
        <v>665</v>
      </c>
      <c r="E47" s="1" t="s">
        <v>666</v>
      </c>
      <c r="F47" s="1" t="s">
        <v>524</v>
      </c>
      <c r="G47" s="1">
        <v>38341</v>
      </c>
      <c r="H47" s="1" t="s">
        <v>525</v>
      </c>
    </row>
    <row r="48" spans="1:8" x14ac:dyDescent="0.35">
      <c r="A48" s="1" t="s">
        <v>29</v>
      </c>
      <c r="B48" s="1" t="s">
        <v>667</v>
      </c>
      <c r="C48" s="1" t="s">
        <v>521</v>
      </c>
      <c r="D48" s="1" t="s">
        <v>668</v>
      </c>
      <c r="E48" s="1" t="s">
        <v>669</v>
      </c>
      <c r="F48" s="1" t="s">
        <v>524</v>
      </c>
      <c r="G48" s="1">
        <v>37367</v>
      </c>
      <c r="H48" s="1" t="s">
        <v>525</v>
      </c>
    </row>
    <row r="49" spans="1:8" x14ac:dyDescent="0.35">
      <c r="A49" s="1" t="s">
        <v>670</v>
      </c>
      <c r="B49" s="1" t="s">
        <v>671</v>
      </c>
      <c r="C49" s="1" t="s">
        <v>521</v>
      </c>
      <c r="D49" s="1" t="s">
        <v>672</v>
      </c>
      <c r="E49" s="1" t="s">
        <v>669</v>
      </c>
      <c r="F49" s="1" t="s">
        <v>524</v>
      </c>
      <c r="G49" s="1">
        <v>37367</v>
      </c>
      <c r="H49" s="1" t="s">
        <v>525</v>
      </c>
    </row>
    <row r="50" spans="1:8" x14ac:dyDescent="0.35">
      <c r="A50" s="1" t="s">
        <v>673</v>
      </c>
      <c r="B50" s="1" t="s">
        <v>674</v>
      </c>
      <c r="C50" s="1" t="s">
        <v>521</v>
      </c>
      <c r="D50" s="1" t="s">
        <v>675</v>
      </c>
      <c r="E50" s="1" t="s">
        <v>669</v>
      </c>
      <c r="F50" s="1" t="s">
        <v>524</v>
      </c>
      <c r="G50" s="1">
        <v>37367</v>
      </c>
      <c r="H50" s="1" t="s">
        <v>525</v>
      </c>
    </row>
    <row r="51" spans="1:8" x14ac:dyDescent="0.35">
      <c r="A51" s="1" t="s">
        <v>676</v>
      </c>
      <c r="B51" s="1" t="s">
        <v>677</v>
      </c>
      <c r="C51" s="1" t="s">
        <v>521</v>
      </c>
      <c r="D51" s="1" t="s">
        <v>678</v>
      </c>
      <c r="E51" s="1" t="s">
        <v>669</v>
      </c>
      <c r="F51" s="1" t="s">
        <v>524</v>
      </c>
      <c r="G51" s="1">
        <v>37367</v>
      </c>
      <c r="H51" s="1" t="s">
        <v>525</v>
      </c>
    </row>
    <row r="52" spans="1:8" x14ac:dyDescent="0.35">
      <c r="A52" s="1" t="s">
        <v>679</v>
      </c>
      <c r="B52" s="1" t="s">
        <v>680</v>
      </c>
      <c r="C52" s="1" t="s">
        <v>521</v>
      </c>
      <c r="D52" s="1" t="s">
        <v>681</v>
      </c>
      <c r="E52" s="1" t="s">
        <v>669</v>
      </c>
      <c r="F52" s="1" t="s">
        <v>524</v>
      </c>
      <c r="G52" s="1">
        <v>37367</v>
      </c>
      <c r="H52" s="1" t="s">
        <v>525</v>
      </c>
    </row>
    <row r="53" spans="1:8" x14ac:dyDescent="0.35">
      <c r="A53" s="1" t="s">
        <v>682</v>
      </c>
      <c r="B53" s="1" t="s">
        <v>683</v>
      </c>
      <c r="C53" s="1" t="s">
        <v>521</v>
      </c>
      <c r="D53" s="1" t="s">
        <v>684</v>
      </c>
      <c r="E53" s="1" t="s">
        <v>37</v>
      </c>
      <c r="F53" s="1" t="s">
        <v>524</v>
      </c>
      <c r="G53" s="1">
        <v>37803</v>
      </c>
      <c r="H53" s="1" t="s">
        <v>525</v>
      </c>
    </row>
    <row r="54" spans="1:8" x14ac:dyDescent="0.35">
      <c r="A54" s="1" t="s">
        <v>685</v>
      </c>
      <c r="B54" s="1" t="s">
        <v>686</v>
      </c>
      <c r="C54" s="1" t="s">
        <v>521</v>
      </c>
      <c r="D54" s="1" t="s">
        <v>687</v>
      </c>
      <c r="E54" s="1" t="s">
        <v>37</v>
      </c>
      <c r="F54" s="1" t="s">
        <v>524</v>
      </c>
      <c r="G54" s="1">
        <v>37803</v>
      </c>
      <c r="H54" s="1" t="s">
        <v>525</v>
      </c>
    </row>
    <row r="55" spans="1:8" x14ac:dyDescent="0.35">
      <c r="A55" s="1" t="s">
        <v>688</v>
      </c>
      <c r="B55" s="1" t="s">
        <v>689</v>
      </c>
      <c r="C55" s="1" t="s">
        <v>521</v>
      </c>
      <c r="D55" s="1" t="s">
        <v>690</v>
      </c>
      <c r="E55" s="1" t="s">
        <v>37</v>
      </c>
      <c r="F55" s="1" t="s">
        <v>524</v>
      </c>
      <c r="G55" s="1">
        <v>37804</v>
      </c>
      <c r="H55" s="1" t="s">
        <v>525</v>
      </c>
    </row>
    <row r="56" spans="1:8" x14ac:dyDescent="0.35">
      <c r="A56" s="1" t="s">
        <v>691</v>
      </c>
      <c r="B56" s="1" t="s">
        <v>692</v>
      </c>
      <c r="C56" s="1" t="s">
        <v>521</v>
      </c>
      <c r="D56" s="1" t="s">
        <v>693</v>
      </c>
      <c r="E56" s="1" t="s">
        <v>37</v>
      </c>
      <c r="F56" s="1" t="s">
        <v>524</v>
      </c>
      <c r="G56" s="1">
        <v>37804</v>
      </c>
      <c r="H56" s="1" t="s">
        <v>525</v>
      </c>
    </row>
    <row r="57" spans="1:8" x14ac:dyDescent="0.35">
      <c r="A57" s="1" t="s">
        <v>694</v>
      </c>
      <c r="B57" s="1" t="s">
        <v>547</v>
      </c>
      <c r="C57" s="1" t="s">
        <v>521</v>
      </c>
      <c r="D57" s="1" t="s">
        <v>695</v>
      </c>
      <c r="E57" s="1" t="s">
        <v>37</v>
      </c>
      <c r="F57" s="1" t="s">
        <v>524</v>
      </c>
      <c r="G57" s="1">
        <v>37803</v>
      </c>
      <c r="H57" s="1" t="s">
        <v>525</v>
      </c>
    </row>
    <row r="58" spans="1:8" x14ac:dyDescent="0.35">
      <c r="A58" s="1" t="s">
        <v>696</v>
      </c>
      <c r="B58" s="1" t="s">
        <v>697</v>
      </c>
      <c r="C58" s="1" t="s">
        <v>521</v>
      </c>
      <c r="D58" s="1" t="s">
        <v>698</v>
      </c>
      <c r="E58" s="1" t="s">
        <v>699</v>
      </c>
      <c r="F58" s="1" t="s">
        <v>524</v>
      </c>
      <c r="G58" s="1">
        <v>37777</v>
      </c>
      <c r="H58" s="1" t="s">
        <v>525</v>
      </c>
    </row>
    <row r="59" spans="1:8" x14ac:dyDescent="0.35">
      <c r="A59" s="1" t="s">
        <v>700</v>
      </c>
      <c r="B59" s="1" t="s">
        <v>701</v>
      </c>
      <c r="C59" s="1" t="s">
        <v>521</v>
      </c>
      <c r="D59" s="1" t="s">
        <v>702</v>
      </c>
      <c r="E59" s="1" t="s">
        <v>37</v>
      </c>
      <c r="F59" s="1" t="s">
        <v>524</v>
      </c>
      <c r="G59" s="1">
        <v>37804</v>
      </c>
      <c r="H59" s="1" t="s">
        <v>525</v>
      </c>
    </row>
    <row r="60" spans="1:8" x14ac:dyDescent="0.35">
      <c r="A60" s="1" t="s">
        <v>31</v>
      </c>
      <c r="B60" s="1" t="s">
        <v>703</v>
      </c>
      <c r="C60" s="1" t="s">
        <v>521</v>
      </c>
      <c r="D60" s="1" t="s">
        <v>704</v>
      </c>
      <c r="E60" s="1" t="s">
        <v>37</v>
      </c>
      <c r="F60" s="1" t="s">
        <v>524</v>
      </c>
      <c r="G60" s="1">
        <v>37804</v>
      </c>
      <c r="H60" s="1" t="s">
        <v>525</v>
      </c>
    </row>
    <row r="61" spans="1:8" x14ac:dyDescent="0.35">
      <c r="A61" s="1" t="s">
        <v>705</v>
      </c>
      <c r="B61" s="1" t="s">
        <v>706</v>
      </c>
      <c r="C61" s="1" t="s">
        <v>521</v>
      </c>
      <c r="D61" s="1" t="s">
        <v>707</v>
      </c>
      <c r="E61" s="1" t="s">
        <v>37</v>
      </c>
      <c r="F61" s="1" t="s">
        <v>524</v>
      </c>
      <c r="G61" s="1">
        <v>37742</v>
      </c>
      <c r="H61" s="1" t="s">
        <v>525</v>
      </c>
    </row>
    <row r="62" spans="1:8" x14ac:dyDescent="0.35">
      <c r="A62" s="1" t="s">
        <v>708</v>
      </c>
      <c r="B62" s="1" t="s">
        <v>709</v>
      </c>
      <c r="C62" s="1" t="s">
        <v>521</v>
      </c>
      <c r="D62" s="1" t="s">
        <v>710</v>
      </c>
      <c r="E62" s="1" t="s">
        <v>699</v>
      </c>
      <c r="F62" s="1" t="s">
        <v>524</v>
      </c>
      <c r="G62" s="1">
        <v>37737</v>
      </c>
      <c r="H62" s="1" t="s">
        <v>525</v>
      </c>
    </row>
    <row r="63" spans="1:8" x14ac:dyDescent="0.35">
      <c r="A63" s="1" t="s">
        <v>711</v>
      </c>
      <c r="B63" s="1" t="s">
        <v>712</v>
      </c>
      <c r="C63" s="1" t="s">
        <v>521</v>
      </c>
      <c r="D63" s="1" t="s">
        <v>713</v>
      </c>
      <c r="E63" s="1" t="s">
        <v>37</v>
      </c>
      <c r="F63" s="1" t="s">
        <v>524</v>
      </c>
      <c r="G63" s="1">
        <v>37801</v>
      </c>
      <c r="H63" s="1" t="s">
        <v>525</v>
      </c>
    </row>
    <row r="64" spans="1:8" x14ac:dyDescent="0.35">
      <c r="A64" s="1" t="s">
        <v>714</v>
      </c>
      <c r="B64" s="1" t="s">
        <v>715</v>
      </c>
      <c r="C64" s="1" t="s">
        <v>521</v>
      </c>
      <c r="D64" s="1" t="s">
        <v>716</v>
      </c>
      <c r="E64" s="1" t="s">
        <v>717</v>
      </c>
      <c r="F64" s="1" t="s">
        <v>524</v>
      </c>
      <c r="G64" s="1">
        <v>37777</v>
      </c>
      <c r="H64" s="1" t="s">
        <v>525</v>
      </c>
    </row>
    <row r="65" spans="1:8" x14ac:dyDescent="0.35">
      <c r="A65" s="1" t="s">
        <v>718</v>
      </c>
      <c r="B65" s="1" t="s">
        <v>719</v>
      </c>
      <c r="C65" s="1" t="s">
        <v>521</v>
      </c>
      <c r="D65" s="1" t="s">
        <v>720</v>
      </c>
      <c r="E65" s="1" t="s">
        <v>37</v>
      </c>
      <c r="F65" s="1" t="s">
        <v>524</v>
      </c>
      <c r="G65" s="1">
        <v>37803</v>
      </c>
      <c r="H65" s="1" t="s">
        <v>525</v>
      </c>
    </row>
    <row r="66" spans="1:8" x14ac:dyDescent="0.35">
      <c r="A66" s="1" t="s">
        <v>721</v>
      </c>
      <c r="B66" s="1" t="s">
        <v>722</v>
      </c>
      <c r="C66" s="1" t="s">
        <v>521</v>
      </c>
      <c r="D66" s="1" t="s">
        <v>723</v>
      </c>
      <c r="E66" s="1" t="s">
        <v>37</v>
      </c>
      <c r="F66" s="1" t="s">
        <v>524</v>
      </c>
      <c r="G66" s="1">
        <v>37804</v>
      </c>
      <c r="H66" s="1" t="s">
        <v>525</v>
      </c>
    </row>
    <row r="67" spans="1:8" x14ac:dyDescent="0.35">
      <c r="A67" s="1" t="s">
        <v>724</v>
      </c>
      <c r="B67" s="1" t="s">
        <v>725</v>
      </c>
      <c r="C67" s="1" t="s">
        <v>521</v>
      </c>
      <c r="D67" s="1" t="s">
        <v>726</v>
      </c>
      <c r="E67" s="1" t="s">
        <v>727</v>
      </c>
      <c r="F67" s="1" t="s">
        <v>524</v>
      </c>
      <c r="G67" s="1">
        <v>37853</v>
      </c>
      <c r="H67" s="1" t="s">
        <v>525</v>
      </c>
    </row>
    <row r="68" spans="1:8" x14ac:dyDescent="0.35">
      <c r="A68" s="1" t="s">
        <v>728</v>
      </c>
      <c r="B68" s="1" t="s">
        <v>729</v>
      </c>
      <c r="C68" s="1" t="s">
        <v>521</v>
      </c>
      <c r="D68" s="1" t="s">
        <v>730</v>
      </c>
      <c r="E68" s="1" t="s">
        <v>731</v>
      </c>
      <c r="F68" s="1" t="s">
        <v>524</v>
      </c>
      <c r="G68" s="1">
        <v>37882</v>
      </c>
      <c r="H68" s="1" t="s">
        <v>525</v>
      </c>
    </row>
    <row r="69" spans="1:8" x14ac:dyDescent="0.35">
      <c r="A69" s="1" t="s">
        <v>732</v>
      </c>
      <c r="B69" s="1" t="s">
        <v>733</v>
      </c>
      <c r="C69" s="1" t="s">
        <v>521</v>
      </c>
      <c r="D69" s="1" t="s">
        <v>734</v>
      </c>
      <c r="E69" s="1" t="s">
        <v>699</v>
      </c>
      <c r="F69" s="1" t="s">
        <v>524</v>
      </c>
      <c r="G69" s="1">
        <v>37737</v>
      </c>
      <c r="H69" s="1" t="s">
        <v>525</v>
      </c>
    </row>
    <row r="70" spans="1:8" x14ac:dyDescent="0.35">
      <c r="A70" s="1" t="s">
        <v>735</v>
      </c>
      <c r="B70" s="1" t="s">
        <v>736</v>
      </c>
      <c r="C70" s="1" t="s">
        <v>521</v>
      </c>
      <c r="D70" s="1" t="s">
        <v>737</v>
      </c>
      <c r="E70" s="1" t="s">
        <v>738</v>
      </c>
      <c r="F70" s="1" t="s">
        <v>524</v>
      </c>
      <c r="G70" s="1">
        <v>37886</v>
      </c>
      <c r="H70" s="1" t="s">
        <v>525</v>
      </c>
    </row>
    <row r="71" spans="1:8" x14ac:dyDescent="0.35">
      <c r="A71" s="1" t="s">
        <v>33</v>
      </c>
      <c r="B71" s="1" t="s">
        <v>739</v>
      </c>
      <c r="C71" s="1" t="s">
        <v>521</v>
      </c>
      <c r="D71" s="1" t="s">
        <v>740</v>
      </c>
      <c r="E71" s="1" t="s">
        <v>37</v>
      </c>
      <c r="F71" s="1" t="s">
        <v>524</v>
      </c>
      <c r="G71" s="1">
        <v>37801</v>
      </c>
      <c r="H71" s="1" t="s">
        <v>525</v>
      </c>
    </row>
    <row r="72" spans="1:8" x14ac:dyDescent="0.35">
      <c r="A72" s="1" t="s">
        <v>741</v>
      </c>
      <c r="B72" s="1" t="s">
        <v>742</v>
      </c>
      <c r="C72" s="1" t="s">
        <v>521</v>
      </c>
      <c r="D72" s="1" t="s">
        <v>743</v>
      </c>
      <c r="E72" s="1" t="s">
        <v>744</v>
      </c>
      <c r="F72" s="1" t="s">
        <v>524</v>
      </c>
      <c r="G72" s="1">
        <v>37865</v>
      </c>
      <c r="H72" s="1" t="s">
        <v>525</v>
      </c>
    </row>
    <row r="73" spans="1:8" x14ac:dyDescent="0.35">
      <c r="A73" s="1" t="s">
        <v>745</v>
      </c>
      <c r="B73" s="1" t="s">
        <v>746</v>
      </c>
      <c r="C73" s="1" t="s">
        <v>521</v>
      </c>
      <c r="D73" s="1" t="s">
        <v>747</v>
      </c>
      <c r="E73" s="1" t="s">
        <v>35</v>
      </c>
      <c r="F73" s="1" t="s">
        <v>524</v>
      </c>
      <c r="G73" s="1">
        <v>37701</v>
      </c>
      <c r="H73" s="1" t="s">
        <v>525</v>
      </c>
    </row>
    <row r="74" spans="1:8" x14ac:dyDescent="0.35">
      <c r="A74" s="1" t="s">
        <v>748</v>
      </c>
      <c r="B74" s="1" t="s">
        <v>749</v>
      </c>
      <c r="C74" s="1" t="s">
        <v>521</v>
      </c>
      <c r="D74" s="1" t="s">
        <v>750</v>
      </c>
      <c r="E74" s="1" t="s">
        <v>35</v>
      </c>
      <c r="F74" s="1" t="s">
        <v>524</v>
      </c>
      <c r="G74" s="1">
        <v>37701</v>
      </c>
      <c r="H74" s="1" t="s">
        <v>525</v>
      </c>
    </row>
    <row r="75" spans="1:8" x14ac:dyDescent="0.35">
      <c r="A75" s="1" t="s">
        <v>34</v>
      </c>
      <c r="B75" s="1" t="s">
        <v>751</v>
      </c>
      <c r="C75" s="1" t="s">
        <v>521</v>
      </c>
      <c r="D75" s="1" t="s">
        <v>752</v>
      </c>
      <c r="E75" s="1" t="s">
        <v>35</v>
      </c>
      <c r="F75" s="1" t="s">
        <v>524</v>
      </c>
      <c r="G75" s="1">
        <v>37701</v>
      </c>
      <c r="H75" s="1" t="s">
        <v>525</v>
      </c>
    </row>
    <row r="76" spans="1:8" x14ac:dyDescent="0.35">
      <c r="A76" s="1" t="s">
        <v>753</v>
      </c>
      <c r="B76" s="1" t="s">
        <v>754</v>
      </c>
      <c r="C76" s="1" t="s">
        <v>521</v>
      </c>
      <c r="D76" s="1" t="s">
        <v>755</v>
      </c>
      <c r="E76" s="1" t="s">
        <v>35</v>
      </c>
      <c r="F76" s="1" t="s">
        <v>524</v>
      </c>
      <c r="G76" s="1">
        <v>37701</v>
      </c>
      <c r="H76" s="1" t="s">
        <v>525</v>
      </c>
    </row>
    <row r="77" spans="1:8" x14ac:dyDescent="0.35">
      <c r="A77" s="1" t="s">
        <v>756</v>
      </c>
      <c r="B77" s="1" t="s">
        <v>757</v>
      </c>
      <c r="C77" s="1" t="s">
        <v>521</v>
      </c>
      <c r="D77" s="1" t="s">
        <v>758</v>
      </c>
      <c r="E77" s="1" t="s">
        <v>37</v>
      </c>
      <c r="F77" s="1" t="s">
        <v>524</v>
      </c>
      <c r="G77" s="1">
        <v>37804</v>
      </c>
      <c r="H77" s="1" t="s">
        <v>525</v>
      </c>
    </row>
    <row r="78" spans="1:8" x14ac:dyDescent="0.35">
      <c r="A78" s="1" t="s">
        <v>36</v>
      </c>
      <c r="B78" s="1" t="s">
        <v>759</v>
      </c>
      <c r="C78" s="1" t="s">
        <v>521</v>
      </c>
      <c r="D78" s="1" t="s">
        <v>760</v>
      </c>
      <c r="E78" s="1" t="s">
        <v>37</v>
      </c>
      <c r="F78" s="1" t="s">
        <v>524</v>
      </c>
      <c r="G78" s="1">
        <v>37803</v>
      </c>
      <c r="H78" s="1" t="s">
        <v>525</v>
      </c>
    </row>
    <row r="79" spans="1:8" x14ac:dyDescent="0.35">
      <c r="A79" s="1" t="s">
        <v>761</v>
      </c>
      <c r="B79" s="1" t="s">
        <v>762</v>
      </c>
      <c r="C79" s="1" t="s">
        <v>521</v>
      </c>
      <c r="D79" s="1" t="s">
        <v>763</v>
      </c>
      <c r="E79" s="1" t="s">
        <v>37</v>
      </c>
      <c r="F79" s="1" t="s">
        <v>524</v>
      </c>
      <c r="G79" s="1">
        <v>37803</v>
      </c>
      <c r="H79" s="1" t="s">
        <v>525</v>
      </c>
    </row>
    <row r="80" spans="1:8" x14ac:dyDescent="0.35">
      <c r="A80" s="1" t="s">
        <v>764</v>
      </c>
      <c r="B80" s="1" t="s">
        <v>765</v>
      </c>
      <c r="C80" s="1" t="s">
        <v>521</v>
      </c>
      <c r="D80" s="1" t="s">
        <v>766</v>
      </c>
      <c r="E80" s="1" t="s">
        <v>37</v>
      </c>
      <c r="F80" s="1" t="s">
        <v>524</v>
      </c>
      <c r="G80" s="1">
        <v>37803</v>
      </c>
      <c r="H80" s="1" t="s">
        <v>525</v>
      </c>
    </row>
    <row r="81" spans="1:8" x14ac:dyDescent="0.35">
      <c r="A81" s="1" t="s">
        <v>767</v>
      </c>
      <c r="B81" s="1" t="s">
        <v>768</v>
      </c>
      <c r="C81" s="1" t="s">
        <v>521</v>
      </c>
      <c r="D81" s="1" t="s">
        <v>769</v>
      </c>
      <c r="E81" s="1" t="s">
        <v>37</v>
      </c>
      <c r="F81" s="1" t="s">
        <v>524</v>
      </c>
      <c r="G81" s="1">
        <v>37803</v>
      </c>
      <c r="H81" s="1" t="s">
        <v>525</v>
      </c>
    </row>
    <row r="82" spans="1:8" x14ac:dyDescent="0.35">
      <c r="A82" s="1" t="s">
        <v>770</v>
      </c>
      <c r="B82" s="1" t="s">
        <v>771</v>
      </c>
      <c r="C82" s="1" t="s">
        <v>521</v>
      </c>
      <c r="D82" s="1" t="s">
        <v>772</v>
      </c>
      <c r="E82" s="1" t="s">
        <v>37</v>
      </c>
      <c r="F82" s="1" t="s">
        <v>524</v>
      </c>
      <c r="G82" s="1">
        <v>37803</v>
      </c>
      <c r="H82" s="1" t="s">
        <v>525</v>
      </c>
    </row>
    <row r="83" spans="1:8" x14ac:dyDescent="0.35">
      <c r="A83" s="1" t="s">
        <v>773</v>
      </c>
      <c r="B83" s="1" t="s">
        <v>774</v>
      </c>
      <c r="C83" s="1" t="s">
        <v>521</v>
      </c>
      <c r="D83" s="1" t="s">
        <v>775</v>
      </c>
      <c r="E83" s="1" t="s">
        <v>37</v>
      </c>
      <c r="F83" s="1" t="s">
        <v>524</v>
      </c>
      <c r="G83" s="1">
        <v>37804</v>
      </c>
      <c r="H83" s="1" t="s">
        <v>525</v>
      </c>
    </row>
    <row r="84" spans="1:8" x14ac:dyDescent="0.35">
      <c r="A84" s="1" t="s">
        <v>776</v>
      </c>
      <c r="B84" s="1" t="s">
        <v>777</v>
      </c>
      <c r="C84" s="1" t="s">
        <v>521</v>
      </c>
      <c r="D84" s="1" t="s">
        <v>778</v>
      </c>
      <c r="E84" s="1" t="s">
        <v>46</v>
      </c>
      <c r="F84" s="1" t="s">
        <v>524</v>
      </c>
      <c r="G84" s="1">
        <v>37311</v>
      </c>
      <c r="H84" s="1" t="s">
        <v>525</v>
      </c>
    </row>
    <row r="85" spans="1:8" x14ac:dyDescent="0.35">
      <c r="A85" s="1" t="s">
        <v>779</v>
      </c>
      <c r="B85" s="1" t="s">
        <v>780</v>
      </c>
      <c r="C85" s="1" t="s">
        <v>521</v>
      </c>
      <c r="D85" s="1" t="s">
        <v>781</v>
      </c>
      <c r="E85" s="1" t="s">
        <v>46</v>
      </c>
      <c r="F85" s="1" t="s">
        <v>524</v>
      </c>
      <c r="G85" s="1">
        <v>37311</v>
      </c>
      <c r="H85" s="1" t="s">
        <v>525</v>
      </c>
    </row>
    <row r="86" spans="1:8" x14ac:dyDescent="0.35">
      <c r="A86" s="1" t="s">
        <v>38</v>
      </c>
      <c r="B86" s="1" t="s">
        <v>782</v>
      </c>
      <c r="C86" s="1" t="s">
        <v>521</v>
      </c>
      <c r="D86" s="1" t="s">
        <v>783</v>
      </c>
      <c r="E86" s="1" t="s">
        <v>46</v>
      </c>
      <c r="F86" s="1" t="s">
        <v>524</v>
      </c>
      <c r="G86" s="1">
        <v>37311</v>
      </c>
      <c r="H86" s="1" t="s">
        <v>525</v>
      </c>
    </row>
    <row r="87" spans="1:8" x14ac:dyDescent="0.35">
      <c r="A87" s="1" t="s">
        <v>784</v>
      </c>
      <c r="B87" s="1" t="s">
        <v>785</v>
      </c>
      <c r="C87" s="1" t="s">
        <v>521</v>
      </c>
      <c r="D87" s="1" t="s">
        <v>786</v>
      </c>
      <c r="E87" s="1" t="s">
        <v>787</v>
      </c>
      <c r="F87" s="1" t="s">
        <v>524</v>
      </c>
      <c r="G87" s="1">
        <v>37310</v>
      </c>
      <c r="H87" s="1" t="s">
        <v>525</v>
      </c>
    </row>
    <row r="88" spans="1:8" x14ac:dyDescent="0.35">
      <c r="A88" s="1" t="s">
        <v>788</v>
      </c>
      <c r="B88" s="1" t="s">
        <v>789</v>
      </c>
      <c r="C88" s="1" t="s">
        <v>521</v>
      </c>
      <c r="D88" s="1" t="s">
        <v>790</v>
      </c>
      <c r="E88" s="1" t="s">
        <v>46</v>
      </c>
      <c r="F88" s="1" t="s">
        <v>524</v>
      </c>
      <c r="G88" s="1">
        <v>37312</v>
      </c>
      <c r="H88" s="1" t="s">
        <v>525</v>
      </c>
    </row>
    <row r="89" spans="1:8" x14ac:dyDescent="0.35">
      <c r="A89" s="1" t="s">
        <v>791</v>
      </c>
      <c r="B89" s="1" t="s">
        <v>792</v>
      </c>
      <c r="C89" s="1" t="s">
        <v>521</v>
      </c>
      <c r="D89" s="1" t="s">
        <v>793</v>
      </c>
      <c r="E89" s="1" t="s">
        <v>46</v>
      </c>
      <c r="F89" s="1" t="s">
        <v>524</v>
      </c>
      <c r="G89" s="1">
        <v>37323</v>
      </c>
      <c r="H89" s="1" t="s">
        <v>525</v>
      </c>
    </row>
    <row r="90" spans="1:8" x14ac:dyDescent="0.35">
      <c r="A90" s="1" t="s">
        <v>40</v>
      </c>
      <c r="B90" s="1" t="s">
        <v>794</v>
      </c>
      <c r="C90" s="1" t="s">
        <v>521</v>
      </c>
      <c r="D90" s="1" t="s">
        <v>795</v>
      </c>
      <c r="E90" s="1" t="s">
        <v>46</v>
      </c>
      <c r="F90" s="1" t="s">
        <v>524</v>
      </c>
      <c r="G90" s="1">
        <v>37312</v>
      </c>
      <c r="H90" s="1" t="s">
        <v>525</v>
      </c>
    </row>
    <row r="91" spans="1:8" x14ac:dyDescent="0.35">
      <c r="A91" s="1" t="s">
        <v>796</v>
      </c>
      <c r="B91" s="1" t="s">
        <v>797</v>
      </c>
      <c r="C91" s="1" t="s">
        <v>521</v>
      </c>
      <c r="D91" s="1" t="s">
        <v>798</v>
      </c>
      <c r="E91" s="1" t="s">
        <v>46</v>
      </c>
      <c r="F91" s="1" t="s">
        <v>524</v>
      </c>
      <c r="G91" s="1">
        <v>37312</v>
      </c>
      <c r="H91" s="1" t="s">
        <v>525</v>
      </c>
    </row>
    <row r="92" spans="1:8" x14ac:dyDescent="0.35">
      <c r="A92" s="1" t="s">
        <v>799</v>
      </c>
      <c r="B92" s="1" t="s">
        <v>800</v>
      </c>
      <c r="C92" s="1" t="s">
        <v>521</v>
      </c>
      <c r="D92" s="1" t="s">
        <v>801</v>
      </c>
      <c r="E92" s="1" t="s">
        <v>46</v>
      </c>
      <c r="F92" s="1" t="s">
        <v>524</v>
      </c>
      <c r="G92" s="1">
        <v>37323</v>
      </c>
      <c r="H92" s="1" t="s">
        <v>525</v>
      </c>
    </row>
    <row r="93" spans="1:8" x14ac:dyDescent="0.35">
      <c r="A93" s="1" t="s">
        <v>802</v>
      </c>
      <c r="B93" s="1" t="s">
        <v>742</v>
      </c>
      <c r="C93" s="1" t="s">
        <v>521</v>
      </c>
      <c r="D93" s="1" t="s">
        <v>803</v>
      </c>
      <c r="E93" s="1" t="s">
        <v>46</v>
      </c>
      <c r="F93" s="1" t="s">
        <v>524</v>
      </c>
      <c r="G93" s="1">
        <v>37311</v>
      </c>
      <c r="H93" s="1" t="s">
        <v>525</v>
      </c>
    </row>
    <row r="94" spans="1:8" x14ac:dyDescent="0.35">
      <c r="A94" s="1" t="s">
        <v>804</v>
      </c>
      <c r="B94" s="1" t="s">
        <v>805</v>
      </c>
      <c r="C94" s="1" t="s">
        <v>521</v>
      </c>
      <c r="D94" s="1" t="s">
        <v>806</v>
      </c>
      <c r="E94" s="1" t="s">
        <v>46</v>
      </c>
      <c r="F94" s="1" t="s">
        <v>524</v>
      </c>
      <c r="G94" s="1">
        <v>37323</v>
      </c>
      <c r="H94" s="1" t="s">
        <v>525</v>
      </c>
    </row>
    <row r="95" spans="1:8" x14ac:dyDescent="0.35">
      <c r="A95" s="1" t="s">
        <v>807</v>
      </c>
      <c r="B95" s="1" t="s">
        <v>808</v>
      </c>
      <c r="C95" s="1" t="s">
        <v>521</v>
      </c>
      <c r="D95" s="1" t="s">
        <v>809</v>
      </c>
      <c r="E95" s="1" t="s">
        <v>46</v>
      </c>
      <c r="F95" s="1" t="s">
        <v>524</v>
      </c>
      <c r="G95" s="1">
        <v>37323</v>
      </c>
      <c r="H95" s="1" t="s">
        <v>525</v>
      </c>
    </row>
    <row r="96" spans="1:8" x14ac:dyDescent="0.35">
      <c r="A96" s="1" t="s">
        <v>810</v>
      </c>
      <c r="B96" s="1" t="s">
        <v>811</v>
      </c>
      <c r="C96" s="1" t="s">
        <v>521</v>
      </c>
      <c r="D96" s="1" t="s">
        <v>812</v>
      </c>
      <c r="E96" s="1" t="s">
        <v>46</v>
      </c>
      <c r="F96" s="1" t="s">
        <v>524</v>
      </c>
      <c r="G96" s="1">
        <v>37323</v>
      </c>
      <c r="H96" s="1" t="s">
        <v>525</v>
      </c>
    </row>
    <row r="97" spans="1:8" x14ac:dyDescent="0.35">
      <c r="A97" s="1" t="s">
        <v>42</v>
      </c>
      <c r="B97" s="1" t="s">
        <v>813</v>
      </c>
      <c r="C97" s="1" t="s">
        <v>521</v>
      </c>
      <c r="D97" s="1" t="s">
        <v>814</v>
      </c>
      <c r="E97" s="1" t="s">
        <v>46</v>
      </c>
      <c r="F97" s="1" t="s">
        <v>524</v>
      </c>
      <c r="G97" s="1">
        <v>37312</v>
      </c>
      <c r="H97" s="1" t="s">
        <v>525</v>
      </c>
    </row>
    <row r="98" spans="1:8" x14ac:dyDescent="0.35">
      <c r="A98" s="1" t="s">
        <v>815</v>
      </c>
      <c r="B98" s="1" t="s">
        <v>816</v>
      </c>
      <c r="C98" s="1" t="s">
        <v>521</v>
      </c>
      <c r="D98" s="1" t="s">
        <v>817</v>
      </c>
      <c r="E98" s="1" t="s">
        <v>46</v>
      </c>
      <c r="F98" s="1" t="s">
        <v>524</v>
      </c>
      <c r="G98" s="1">
        <v>37323</v>
      </c>
      <c r="H98" s="1" t="s">
        <v>525</v>
      </c>
    </row>
    <row r="99" spans="1:8" x14ac:dyDescent="0.35">
      <c r="A99" s="1" t="s">
        <v>818</v>
      </c>
      <c r="B99" s="1" t="s">
        <v>819</v>
      </c>
      <c r="C99" s="1" t="s">
        <v>521</v>
      </c>
      <c r="D99" s="1" t="s">
        <v>820</v>
      </c>
      <c r="E99" s="1" t="s">
        <v>46</v>
      </c>
      <c r="F99" s="1" t="s">
        <v>524</v>
      </c>
      <c r="G99" s="1">
        <v>37323</v>
      </c>
      <c r="H99" s="1" t="s">
        <v>525</v>
      </c>
    </row>
    <row r="100" spans="1:8" x14ac:dyDescent="0.35">
      <c r="A100" s="1" t="s">
        <v>43</v>
      </c>
      <c r="B100" s="1" t="s">
        <v>821</v>
      </c>
      <c r="C100" s="1" t="s">
        <v>521</v>
      </c>
      <c r="D100" s="1" t="s">
        <v>822</v>
      </c>
      <c r="E100" s="1" t="s">
        <v>46</v>
      </c>
      <c r="F100" s="1" t="s">
        <v>524</v>
      </c>
      <c r="G100" s="1">
        <v>37311</v>
      </c>
      <c r="H100" s="1" t="s">
        <v>525</v>
      </c>
    </row>
    <row r="101" spans="1:8" x14ac:dyDescent="0.35">
      <c r="A101" s="1" t="s">
        <v>823</v>
      </c>
      <c r="B101" s="1" t="s">
        <v>824</v>
      </c>
      <c r="C101" s="1" t="s">
        <v>521</v>
      </c>
      <c r="D101" s="1" t="s">
        <v>825</v>
      </c>
      <c r="E101" s="1" t="s">
        <v>46</v>
      </c>
      <c r="F101" s="1" t="s">
        <v>524</v>
      </c>
      <c r="G101" s="1">
        <v>37311</v>
      </c>
      <c r="H101" s="1" t="s">
        <v>525</v>
      </c>
    </row>
    <row r="102" spans="1:8" x14ac:dyDescent="0.35">
      <c r="A102" s="1" t="s">
        <v>826</v>
      </c>
      <c r="B102" s="1" t="s">
        <v>827</v>
      </c>
      <c r="C102" s="1" t="s">
        <v>521</v>
      </c>
      <c r="D102" s="1" t="s">
        <v>828</v>
      </c>
      <c r="E102" s="1" t="s">
        <v>46</v>
      </c>
      <c r="F102" s="1" t="s">
        <v>524</v>
      </c>
      <c r="G102" s="1">
        <v>37311</v>
      </c>
      <c r="H102" s="1" t="s">
        <v>525</v>
      </c>
    </row>
    <row r="103" spans="1:8" x14ac:dyDescent="0.35">
      <c r="A103" s="1" t="s">
        <v>829</v>
      </c>
      <c r="B103" s="1" t="s">
        <v>830</v>
      </c>
      <c r="C103" s="1" t="s">
        <v>521</v>
      </c>
      <c r="D103" s="1" t="s">
        <v>831</v>
      </c>
      <c r="E103" s="1" t="s">
        <v>46</v>
      </c>
      <c r="F103" s="1" t="s">
        <v>524</v>
      </c>
      <c r="G103" s="1">
        <v>37312</v>
      </c>
      <c r="H103" s="1" t="s">
        <v>525</v>
      </c>
    </row>
    <row r="104" spans="1:8" x14ac:dyDescent="0.35">
      <c r="A104" s="1" t="s">
        <v>45</v>
      </c>
      <c r="B104" s="1" t="s">
        <v>832</v>
      </c>
      <c r="C104" s="1" t="s">
        <v>521</v>
      </c>
      <c r="D104" s="1" t="s">
        <v>833</v>
      </c>
      <c r="E104" s="1" t="s">
        <v>46</v>
      </c>
      <c r="F104" s="1" t="s">
        <v>524</v>
      </c>
      <c r="G104" s="1">
        <v>37312</v>
      </c>
      <c r="H104" s="1" t="s">
        <v>525</v>
      </c>
    </row>
    <row r="105" spans="1:8" x14ac:dyDescent="0.35">
      <c r="A105" s="1" t="s">
        <v>834</v>
      </c>
      <c r="B105" s="1" t="s">
        <v>835</v>
      </c>
      <c r="C105" s="1" t="s">
        <v>521</v>
      </c>
      <c r="D105" s="1" t="s">
        <v>836</v>
      </c>
      <c r="E105" s="1" t="s">
        <v>46</v>
      </c>
      <c r="F105" s="1" t="s">
        <v>524</v>
      </c>
      <c r="G105" s="1">
        <v>37312</v>
      </c>
      <c r="H105" s="1" t="s">
        <v>525</v>
      </c>
    </row>
    <row r="106" spans="1:8" x14ac:dyDescent="0.35">
      <c r="A106" s="1" t="s">
        <v>837</v>
      </c>
      <c r="B106" s="1" t="s">
        <v>838</v>
      </c>
      <c r="C106" s="1" t="s">
        <v>521</v>
      </c>
      <c r="D106" s="1" t="s">
        <v>839</v>
      </c>
      <c r="E106" s="1" t="s">
        <v>46</v>
      </c>
      <c r="F106" s="1" t="s">
        <v>524</v>
      </c>
      <c r="G106" s="1">
        <v>37312</v>
      </c>
      <c r="H106" s="1" t="s">
        <v>525</v>
      </c>
    </row>
    <row r="107" spans="1:8" x14ac:dyDescent="0.35">
      <c r="A107" s="1" t="s">
        <v>840</v>
      </c>
      <c r="B107" s="1" t="s">
        <v>841</v>
      </c>
      <c r="C107" s="1" t="s">
        <v>521</v>
      </c>
      <c r="D107" s="1" t="s">
        <v>842</v>
      </c>
      <c r="E107" s="1" t="s">
        <v>46</v>
      </c>
      <c r="F107" s="1" t="s">
        <v>524</v>
      </c>
      <c r="G107" s="1">
        <v>37311</v>
      </c>
      <c r="H107" s="1" t="s">
        <v>525</v>
      </c>
    </row>
    <row r="108" spans="1:8" x14ac:dyDescent="0.35">
      <c r="A108" s="1" t="s">
        <v>843</v>
      </c>
      <c r="B108" s="1" t="s">
        <v>844</v>
      </c>
      <c r="C108" s="1" t="s">
        <v>521</v>
      </c>
      <c r="D108" s="1" t="s">
        <v>845</v>
      </c>
      <c r="E108" s="1" t="s">
        <v>46</v>
      </c>
      <c r="F108" s="1" t="s">
        <v>524</v>
      </c>
      <c r="G108" s="1">
        <v>37311</v>
      </c>
      <c r="H108" s="1" t="s">
        <v>525</v>
      </c>
    </row>
    <row r="109" spans="1:8" x14ac:dyDescent="0.35">
      <c r="A109" s="1" t="s">
        <v>47</v>
      </c>
      <c r="B109" s="1" t="s">
        <v>846</v>
      </c>
      <c r="C109" s="1" t="s">
        <v>521</v>
      </c>
      <c r="D109" s="1" t="s">
        <v>847</v>
      </c>
      <c r="E109" s="1" t="s">
        <v>46</v>
      </c>
      <c r="F109" s="1" t="s">
        <v>524</v>
      </c>
      <c r="G109" s="1">
        <v>37311</v>
      </c>
      <c r="H109" s="1" t="s">
        <v>525</v>
      </c>
    </row>
    <row r="110" spans="1:8" x14ac:dyDescent="0.35">
      <c r="A110" s="1" t="s">
        <v>48</v>
      </c>
      <c r="B110" s="1" t="s">
        <v>848</v>
      </c>
      <c r="C110" s="1" t="s">
        <v>521</v>
      </c>
      <c r="D110" s="1" t="s">
        <v>849</v>
      </c>
      <c r="E110" s="1" t="s">
        <v>850</v>
      </c>
      <c r="F110" s="1" t="s">
        <v>524</v>
      </c>
      <c r="G110" s="1">
        <v>37757</v>
      </c>
      <c r="H110" s="1" t="s">
        <v>525</v>
      </c>
    </row>
    <row r="111" spans="1:8" x14ac:dyDescent="0.35">
      <c r="A111" s="1" t="s">
        <v>851</v>
      </c>
      <c r="B111" s="1" t="s">
        <v>852</v>
      </c>
      <c r="C111" s="1" t="s">
        <v>521</v>
      </c>
      <c r="D111" s="1" t="s">
        <v>853</v>
      </c>
      <c r="E111" s="1" t="s">
        <v>854</v>
      </c>
      <c r="F111" s="1" t="s">
        <v>524</v>
      </c>
      <c r="G111" s="1">
        <v>37714</v>
      </c>
      <c r="H111" s="1" t="s">
        <v>525</v>
      </c>
    </row>
    <row r="112" spans="1:8" x14ac:dyDescent="0.35">
      <c r="A112" s="1" t="s">
        <v>855</v>
      </c>
      <c r="B112" s="1" t="s">
        <v>856</v>
      </c>
      <c r="C112" s="1" t="s">
        <v>521</v>
      </c>
      <c r="D112" s="1" t="s">
        <v>857</v>
      </c>
      <c r="E112" s="1" t="s">
        <v>858</v>
      </c>
      <c r="F112" s="1" t="s">
        <v>524</v>
      </c>
      <c r="G112" s="1">
        <v>37847</v>
      </c>
      <c r="H112" s="1" t="s">
        <v>525</v>
      </c>
    </row>
    <row r="113" spans="1:8" x14ac:dyDescent="0.35">
      <c r="A113" s="1" t="s">
        <v>859</v>
      </c>
      <c r="B113" s="1" t="s">
        <v>860</v>
      </c>
      <c r="C113" s="1" t="s">
        <v>521</v>
      </c>
      <c r="D113" s="1" t="s">
        <v>861</v>
      </c>
      <c r="E113" s="1" t="s">
        <v>850</v>
      </c>
      <c r="F113" s="1" t="s">
        <v>524</v>
      </c>
      <c r="G113" s="1">
        <v>37757</v>
      </c>
      <c r="H113" s="1" t="s">
        <v>525</v>
      </c>
    </row>
    <row r="114" spans="1:8" x14ac:dyDescent="0.35">
      <c r="A114" s="1" t="s">
        <v>862</v>
      </c>
      <c r="B114" s="1" t="s">
        <v>863</v>
      </c>
      <c r="C114" s="1" t="s">
        <v>521</v>
      </c>
      <c r="D114" s="1" t="s">
        <v>864</v>
      </c>
      <c r="E114" s="1" t="s">
        <v>850</v>
      </c>
      <c r="F114" s="1" t="s">
        <v>524</v>
      </c>
      <c r="G114" s="1">
        <v>37757</v>
      </c>
      <c r="H114" s="1" t="s">
        <v>525</v>
      </c>
    </row>
    <row r="115" spans="1:8" x14ac:dyDescent="0.35">
      <c r="A115" s="1" t="s">
        <v>865</v>
      </c>
      <c r="B115" s="1" t="s">
        <v>866</v>
      </c>
      <c r="C115" s="1" t="s">
        <v>521</v>
      </c>
      <c r="D115" s="1" t="s">
        <v>867</v>
      </c>
      <c r="E115" s="1" t="s">
        <v>868</v>
      </c>
      <c r="F115" s="1" t="s">
        <v>524</v>
      </c>
      <c r="G115" s="1">
        <v>37762</v>
      </c>
      <c r="H115" s="1" t="s">
        <v>525</v>
      </c>
    </row>
    <row r="116" spans="1:8" x14ac:dyDescent="0.35">
      <c r="A116" s="1" t="s">
        <v>50</v>
      </c>
      <c r="B116" s="1" t="s">
        <v>869</v>
      </c>
      <c r="C116" s="1" t="s">
        <v>521</v>
      </c>
      <c r="D116" s="1" t="s">
        <v>870</v>
      </c>
      <c r="E116" s="1" t="s">
        <v>868</v>
      </c>
      <c r="F116" s="1" t="s">
        <v>524</v>
      </c>
      <c r="G116" s="1">
        <v>37762</v>
      </c>
      <c r="H116" s="1" t="s">
        <v>525</v>
      </c>
    </row>
    <row r="117" spans="1:8" x14ac:dyDescent="0.35">
      <c r="A117" s="1" t="s">
        <v>871</v>
      </c>
      <c r="B117" s="1" t="s">
        <v>872</v>
      </c>
      <c r="C117" s="1" t="s">
        <v>521</v>
      </c>
      <c r="D117" s="1" t="s">
        <v>873</v>
      </c>
      <c r="E117" s="1" t="s">
        <v>874</v>
      </c>
      <c r="F117" s="1" t="s">
        <v>524</v>
      </c>
      <c r="G117" s="1">
        <v>37766</v>
      </c>
      <c r="H117" s="1" t="s">
        <v>525</v>
      </c>
    </row>
    <row r="118" spans="1:8" x14ac:dyDescent="0.35">
      <c r="A118" s="1" t="s">
        <v>875</v>
      </c>
      <c r="B118" s="1" t="s">
        <v>876</v>
      </c>
      <c r="C118" s="1" t="s">
        <v>521</v>
      </c>
      <c r="D118" s="1" t="s">
        <v>877</v>
      </c>
      <c r="E118" s="1" t="s">
        <v>878</v>
      </c>
      <c r="F118" s="1" t="s">
        <v>524</v>
      </c>
      <c r="G118" s="1">
        <v>37766</v>
      </c>
      <c r="H118" s="1" t="s">
        <v>525</v>
      </c>
    </row>
    <row r="119" spans="1:8" x14ac:dyDescent="0.35">
      <c r="A119" s="1" t="s">
        <v>879</v>
      </c>
      <c r="B119" s="1" t="s">
        <v>880</v>
      </c>
      <c r="C119" s="1" t="s">
        <v>521</v>
      </c>
      <c r="D119" s="1" t="s">
        <v>881</v>
      </c>
      <c r="E119" s="1" t="s">
        <v>874</v>
      </c>
      <c r="F119" s="1" t="s">
        <v>524</v>
      </c>
      <c r="G119" s="1">
        <v>37766</v>
      </c>
      <c r="H119" s="1" t="s">
        <v>525</v>
      </c>
    </row>
    <row r="120" spans="1:8" x14ac:dyDescent="0.35">
      <c r="A120" s="1" t="s">
        <v>882</v>
      </c>
      <c r="B120" s="1" t="s">
        <v>883</v>
      </c>
      <c r="C120" s="1" t="s">
        <v>521</v>
      </c>
      <c r="D120" s="1" t="s">
        <v>884</v>
      </c>
      <c r="E120" s="1" t="s">
        <v>885</v>
      </c>
      <c r="F120" s="1" t="s">
        <v>524</v>
      </c>
      <c r="G120" s="1">
        <v>37729</v>
      </c>
      <c r="H120" s="1" t="s">
        <v>525</v>
      </c>
    </row>
    <row r="121" spans="1:8" x14ac:dyDescent="0.35">
      <c r="A121" s="1" t="s">
        <v>886</v>
      </c>
      <c r="B121" s="1" t="s">
        <v>887</v>
      </c>
      <c r="C121" s="1" t="s">
        <v>521</v>
      </c>
      <c r="D121" s="1" t="s">
        <v>888</v>
      </c>
      <c r="E121" s="1" t="s">
        <v>885</v>
      </c>
      <c r="F121" s="1" t="s">
        <v>524</v>
      </c>
      <c r="G121" s="1">
        <v>37729</v>
      </c>
      <c r="H121" s="1" t="s">
        <v>525</v>
      </c>
    </row>
    <row r="122" spans="1:8" x14ac:dyDescent="0.35">
      <c r="A122" s="1" t="s">
        <v>889</v>
      </c>
      <c r="B122" s="1" t="s">
        <v>890</v>
      </c>
      <c r="C122" s="1" t="s">
        <v>521</v>
      </c>
      <c r="D122" s="1" t="s">
        <v>891</v>
      </c>
      <c r="E122" s="1" t="s">
        <v>892</v>
      </c>
      <c r="F122" s="1" t="s">
        <v>524</v>
      </c>
      <c r="G122" s="1">
        <v>37016</v>
      </c>
      <c r="H122" s="1" t="s">
        <v>525</v>
      </c>
    </row>
    <row r="123" spans="1:8" x14ac:dyDescent="0.35">
      <c r="A123" s="1" t="s">
        <v>51</v>
      </c>
      <c r="B123" s="1" t="s">
        <v>893</v>
      </c>
      <c r="C123" s="1" t="s">
        <v>521</v>
      </c>
      <c r="D123" s="1" t="s">
        <v>894</v>
      </c>
      <c r="E123" s="1" t="s">
        <v>895</v>
      </c>
      <c r="F123" s="1" t="s">
        <v>524</v>
      </c>
      <c r="G123" s="1">
        <v>37190</v>
      </c>
      <c r="H123" s="1" t="s">
        <v>525</v>
      </c>
    </row>
    <row r="124" spans="1:8" x14ac:dyDescent="0.35">
      <c r="A124" s="1" t="s">
        <v>896</v>
      </c>
      <c r="B124" s="1" t="s">
        <v>637</v>
      </c>
      <c r="C124" s="1" t="s">
        <v>521</v>
      </c>
      <c r="D124" s="1" t="s">
        <v>897</v>
      </c>
      <c r="E124" s="1" t="s">
        <v>895</v>
      </c>
      <c r="F124" s="1" t="s">
        <v>524</v>
      </c>
      <c r="G124" s="1">
        <v>37190</v>
      </c>
      <c r="H124" s="1" t="s">
        <v>525</v>
      </c>
    </row>
    <row r="125" spans="1:8" x14ac:dyDescent="0.35">
      <c r="A125" s="1" t="s">
        <v>898</v>
      </c>
      <c r="B125" s="1" t="s">
        <v>899</v>
      </c>
      <c r="C125" s="1" t="s">
        <v>521</v>
      </c>
      <c r="D125" s="1" t="s">
        <v>900</v>
      </c>
      <c r="E125" s="1" t="s">
        <v>895</v>
      </c>
      <c r="F125" s="1" t="s">
        <v>524</v>
      </c>
      <c r="G125" s="1">
        <v>37190</v>
      </c>
      <c r="H125" s="1" t="s">
        <v>525</v>
      </c>
    </row>
    <row r="126" spans="1:8" x14ac:dyDescent="0.35">
      <c r="A126" s="1" t="s">
        <v>901</v>
      </c>
      <c r="B126" s="1" t="s">
        <v>902</v>
      </c>
      <c r="C126" s="1" t="s">
        <v>521</v>
      </c>
      <c r="D126" s="1" t="s">
        <v>903</v>
      </c>
      <c r="E126" s="1" t="s">
        <v>904</v>
      </c>
      <c r="F126" s="1" t="s">
        <v>524</v>
      </c>
      <c r="G126" s="1">
        <v>37149</v>
      </c>
      <c r="H126" s="1" t="s">
        <v>525</v>
      </c>
    </row>
    <row r="127" spans="1:8" x14ac:dyDescent="0.35">
      <c r="A127" s="1" t="s">
        <v>905</v>
      </c>
      <c r="B127" s="1" t="s">
        <v>906</v>
      </c>
      <c r="C127" s="1" t="s">
        <v>521</v>
      </c>
      <c r="D127" s="1" t="s">
        <v>907</v>
      </c>
      <c r="E127" s="1" t="s">
        <v>895</v>
      </c>
      <c r="F127" s="1" t="s">
        <v>524</v>
      </c>
      <c r="G127" s="1">
        <v>37190</v>
      </c>
      <c r="H127" s="1" t="s">
        <v>525</v>
      </c>
    </row>
    <row r="128" spans="1:8" x14ac:dyDescent="0.35">
      <c r="A128" s="1" t="s">
        <v>908</v>
      </c>
      <c r="B128" s="1" t="s">
        <v>604</v>
      </c>
      <c r="C128" s="1" t="s">
        <v>521</v>
      </c>
      <c r="D128" s="1" t="s">
        <v>909</v>
      </c>
      <c r="E128" s="1" t="s">
        <v>910</v>
      </c>
      <c r="F128" s="1" t="s">
        <v>524</v>
      </c>
      <c r="G128" s="1">
        <v>37026</v>
      </c>
      <c r="H128" s="1" t="s">
        <v>525</v>
      </c>
    </row>
    <row r="129" spans="1:8" x14ac:dyDescent="0.35">
      <c r="A129" s="1" t="s">
        <v>911</v>
      </c>
      <c r="B129" s="1" t="s">
        <v>912</v>
      </c>
      <c r="C129" s="1" t="s">
        <v>521</v>
      </c>
      <c r="D129" s="1" t="s">
        <v>913</v>
      </c>
      <c r="E129" s="1" t="s">
        <v>914</v>
      </c>
      <c r="F129" s="1" t="s">
        <v>524</v>
      </c>
      <c r="G129" s="1">
        <v>38317</v>
      </c>
      <c r="H129" s="1" t="s">
        <v>525</v>
      </c>
    </row>
    <row r="130" spans="1:8" x14ac:dyDescent="0.35">
      <c r="A130" s="1" t="s">
        <v>53</v>
      </c>
      <c r="B130" s="1" t="s">
        <v>915</v>
      </c>
      <c r="C130" s="1" t="s">
        <v>521</v>
      </c>
      <c r="D130" s="1" t="s">
        <v>913</v>
      </c>
      <c r="E130" s="1" t="s">
        <v>914</v>
      </c>
      <c r="F130" s="1" t="s">
        <v>524</v>
      </c>
      <c r="G130" s="1">
        <v>38317</v>
      </c>
      <c r="H130" s="1" t="s">
        <v>525</v>
      </c>
    </row>
    <row r="131" spans="1:8" x14ac:dyDescent="0.35">
      <c r="A131" s="1" t="s">
        <v>916</v>
      </c>
      <c r="B131" s="1" t="s">
        <v>917</v>
      </c>
      <c r="C131" s="1" t="s">
        <v>521</v>
      </c>
      <c r="D131" s="1" t="s">
        <v>918</v>
      </c>
      <c r="E131" s="1" t="s">
        <v>919</v>
      </c>
      <c r="F131" s="1" t="s">
        <v>524</v>
      </c>
      <c r="G131" s="1">
        <v>38344</v>
      </c>
      <c r="H131" s="1" t="s">
        <v>525</v>
      </c>
    </row>
    <row r="132" spans="1:8" x14ac:dyDescent="0.35">
      <c r="A132" s="1" t="s">
        <v>55</v>
      </c>
      <c r="B132" s="1" t="s">
        <v>920</v>
      </c>
      <c r="C132" s="1" t="s">
        <v>521</v>
      </c>
      <c r="D132" s="1" t="s">
        <v>921</v>
      </c>
      <c r="E132" s="1" t="s">
        <v>919</v>
      </c>
      <c r="F132" s="1" t="s">
        <v>524</v>
      </c>
      <c r="G132" s="1">
        <v>38344</v>
      </c>
      <c r="H132" s="1" t="s">
        <v>525</v>
      </c>
    </row>
    <row r="133" spans="1:8" x14ac:dyDescent="0.35">
      <c r="A133" s="1" t="s">
        <v>922</v>
      </c>
      <c r="B133" s="1" t="s">
        <v>923</v>
      </c>
      <c r="C133" s="1" t="s">
        <v>521</v>
      </c>
      <c r="D133" s="1" t="s">
        <v>924</v>
      </c>
      <c r="E133" s="1" t="s">
        <v>919</v>
      </c>
      <c r="F133" s="1" t="s">
        <v>524</v>
      </c>
      <c r="G133" s="1">
        <v>38344</v>
      </c>
      <c r="H133" s="1" t="s">
        <v>525</v>
      </c>
    </row>
    <row r="134" spans="1:8" x14ac:dyDescent="0.35">
      <c r="A134" s="1" t="s">
        <v>925</v>
      </c>
      <c r="B134" s="1" t="s">
        <v>926</v>
      </c>
      <c r="C134" s="1" t="s">
        <v>521</v>
      </c>
      <c r="D134" s="1" t="s">
        <v>927</v>
      </c>
      <c r="E134" s="1" t="s">
        <v>58</v>
      </c>
      <c r="F134" s="1" t="s">
        <v>524</v>
      </c>
      <c r="G134" s="1">
        <v>38201</v>
      </c>
      <c r="H134" s="1" t="s">
        <v>525</v>
      </c>
    </row>
    <row r="135" spans="1:8" x14ac:dyDescent="0.35">
      <c r="A135" s="1" t="s">
        <v>57</v>
      </c>
      <c r="B135" s="1" t="s">
        <v>928</v>
      </c>
      <c r="C135" s="1" t="s">
        <v>521</v>
      </c>
      <c r="D135" s="1" t="s">
        <v>929</v>
      </c>
      <c r="E135" s="1" t="s">
        <v>58</v>
      </c>
      <c r="F135" s="1" t="s">
        <v>524</v>
      </c>
      <c r="G135" s="1">
        <v>38201</v>
      </c>
      <c r="H135" s="1" t="s">
        <v>525</v>
      </c>
    </row>
    <row r="136" spans="1:8" x14ac:dyDescent="0.35">
      <c r="A136" s="1" t="s">
        <v>930</v>
      </c>
      <c r="B136" s="1" t="s">
        <v>931</v>
      </c>
      <c r="C136" s="1" t="s">
        <v>521</v>
      </c>
      <c r="D136" s="1" t="s">
        <v>932</v>
      </c>
      <c r="E136" s="1" t="s">
        <v>58</v>
      </c>
      <c r="F136" s="1" t="s">
        <v>524</v>
      </c>
      <c r="G136" s="1">
        <v>38201</v>
      </c>
      <c r="H136" s="1" t="s">
        <v>525</v>
      </c>
    </row>
    <row r="137" spans="1:8" x14ac:dyDescent="0.35">
      <c r="A137" s="1" t="s">
        <v>59</v>
      </c>
      <c r="B137" s="1" t="s">
        <v>933</v>
      </c>
      <c r="C137" s="1" t="s">
        <v>521</v>
      </c>
      <c r="D137" s="1" t="s">
        <v>934</v>
      </c>
      <c r="E137" s="1" t="s">
        <v>935</v>
      </c>
      <c r="F137" s="1" t="s">
        <v>524</v>
      </c>
      <c r="G137" s="1">
        <v>38324</v>
      </c>
      <c r="H137" s="1" t="s">
        <v>525</v>
      </c>
    </row>
    <row r="138" spans="1:8" x14ac:dyDescent="0.35">
      <c r="A138" s="1" t="s">
        <v>61</v>
      </c>
      <c r="B138" s="1" t="s">
        <v>936</v>
      </c>
      <c r="C138" s="1" t="s">
        <v>521</v>
      </c>
      <c r="D138" s="1" t="s">
        <v>937</v>
      </c>
      <c r="E138" s="1" t="s">
        <v>938</v>
      </c>
      <c r="F138" s="1" t="s">
        <v>524</v>
      </c>
      <c r="G138" s="1">
        <v>38220</v>
      </c>
      <c r="H138" s="1" t="s">
        <v>525</v>
      </c>
    </row>
    <row r="139" spans="1:8" x14ac:dyDescent="0.35">
      <c r="A139" s="1" t="s">
        <v>939</v>
      </c>
      <c r="B139" s="1" t="s">
        <v>940</v>
      </c>
      <c r="C139" s="1" t="s">
        <v>521</v>
      </c>
      <c r="D139" s="1" t="s">
        <v>941</v>
      </c>
      <c r="E139" s="1" t="s">
        <v>942</v>
      </c>
      <c r="F139" s="1" t="s">
        <v>524</v>
      </c>
      <c r="G139" s="1">
        <v>38235</v>
      </c>
      <c r="H139" s="1" t="s">
        <v>525</v>
      </c>
    </row>
    <row r="140" spans="1:8" x14ac:dyDescent="0.35">
      <c r="A140" s="1" t="s">
        <v>943</v>
      </c>
      <c r="B140" s="1" t="s">
        <v>944</v>
      </c>
      <c r="C140" s="1" t="s">
        <v>521</v>
      </c>
      <c r="D140" s="1" t="s">
        <v>945</v>
      </c>
      <c r="E140" s="1" t="s">
        <v>946</v>
      </c>
      <c r="F140" s="1" t="s">
        <v>524</v>
      </c>
      <c r="G140" s="1">
        <v>38258</v>
      </c>
      <c r="H140" s="1" t="s">
        <v>525</v>
      </c>
    </row>
    <row r="141" spans="1:8" x14ac:dyDescent="0.35">
      <c r="A141" s="1" t="s">
        <v>947</v>
      </c>
      <c r="B141" s="1" t="s">
        <v>912</v>
      </c>
      <c r="C141" s="1" t="s">
        <v>521</v>
      </c>
      <c r="D141" s="1" t="s">
        <v>948</v>
      </c>
      <c r="E141" s="1" t="s">
        <v>473</v>
      </c>
      <c r="F141" s="1" t="s">
        <v>524</v>
      </c>
      <c r="G141" s="1">
        <v>37601</v>
      </c>
      <c r="H141" s="1" t="s">
        <v>525</v>
      </c>
    </row>
    <row r="142" spans="1:8" x14ac:dyDescent="0.35">
      <c r="A142" s="1" t="s">
        <v>949</v>
      </c>
      <c r="B142" s="1" t="s">
        <v>950</v>
      </c>
      <c r="C142" s="1" t="s">
        <v>521</v>
      </c>
      <c r="D142" s="1" t="s">
        <v>951</v>
      </c>
      <c r="E142" s="1" t="s">
        <v>952</v>
      </c>
      <c r="F142" s="1" t="s">
        <v>524</v>
      </c>
      <c r="G142" s="1">
        <v>37687</v>
      </c>
      <c r="H142" s="1" t="s">
        <v>525</v>
      </c>
    </row>
    <row r="143" spans="1:8" x14ac:dyDescent="0.35">
      <c r="A143" s="1" t="s">
        <v>63</v>
      </c>
      <c r="B143" s="1" t="s">
        <v>953</v>
      </c>
      <c r="C143" s="1" t="s">
        <v>521</v>
      </c>
      <c r="D143" s="1" t="s">
        <v>954</v>
      </c>
      <c r="E143" s="1" t="s">
        <v>952</v>
      </c>
      <c r="F143" s="1" t="s">
        <v>524</v>
      </c>
      <c r="G143" s="1">
        <v>37687</v>
      </c>
      <c r="H143" s="1" t="s">
        <v>525</v>
      </c>
    </row>
    <row r="144" spans="1:8" x14ac:dyDescent="0.35">
      <c r="A144" s="1" t="s">
        <v>955</v>
      </c>
      <c r="B144" s="1" t="s">
        <v>956</v>
      </c>
      <c r="C144" s="1" t="s">
        <v>521</v>
      </c>
      <c r="D144" s="1" t="s">
        <v>957</v>
      </c>
      <c r="E144" s="1" t="s">
        <v>958</v>
      </c>
      <c r="F144" s="1" t="s">
        <v>524</v>
      </c>
      <c r="G144" s="1">
        <v>37658</v>
      </c>
      <c r="H144" s="1" t="s">
        <v>525</v>
      </c>
    </row>
    <row r="145" spans="1:8" x14ac:dyDescent="0.35">
      <c r="A145" s="1" t="s">
        <v>65</v>
      </c>
      <c r="B145" s="1" t="s">
        <v>959</v>
      </c>
      <c r="C145" s="1" t="s">
        <v>521</v>
      </c>
      <c r="D145" s="1" t="s">
        <v>960</v>
      </c>
      <c r="E145" s="1" t="s">
        <v>958</v>
      </c>
      <c r="F145" s="1" t="s">
        <v>524</v>
      </c>
      <c r="G145" s="1">
        <v>37658</v>
      </c>
      <c r="H145" s="1" t="s">
        <v>525</v>
      </c>
    </row>
    <row r="146" spans="1:8" x14ac:dyDescent="0.35">
      <c r="A146" s="1" t="s">
        <v>961</v>
      </c>
      <c r="B146" s="1" t="s">
        <v>962</v>
      </c>
      <c r="C146" s="1" t="s">
        <v>521</v>
      </c>
      <c r="D146" s="1" t="s">
        <v>963</v>
      </c>
      <c r="E146" s="1" t="s">
        <v>473</v>
      </c>
      <c r="F146" s="1" t="s">
        <v>524</v>
      </c>
      <c r="G146" s="1">
        <v>37601</v>
      </c>
      <c r="H146" s="1" t="s">
        <v>525</v>
      </c>
    </row>
    <row r="147" spans="1:8" x14ac:dyDescent="0.35">
      <c r="A147" s="1" t="s">
        <v>66</v>
      </c>
      <c r="B147" s="1" t="s">
        <v>964</v>
      </c>
      <c r="C147" s="1" t="s">
        <v>521</v>
      </c>
      <c r="D147" s="1" t="s">
        <v>965</v>
      </c>
      <c r="E147" s="1" t="s">
        <v>69</v>
      </c>
      <c r="F147" s="1" t="s">
        <v>524</v>
      </c>
      <c r="G147" s="1">
        <v>37643</v>
      </c>
      <c r="H147" s="1" t="s">
        <v>525</v>
      </c>
    </row>
    <row r="148" spans="1:8" x14ac:dyDescent="0.35">
      <c r="A148" s="1" t="s">
        <v>966</v>
      </c>
      <c r="B148" s="1" t="s">
        <v>967</v>
      </c>
      <c r="C148" s="1" t="s">
        <v>521</v>
      </c>
      <c r="D148" s="1" t="s">
        <v>968</v>
      </c>
      <c r="E148" s="1" t="s">
        <v>69</v>
      </c>
      <c r="F148" s="1" t="s">
        <v>524</v>
      </c>
      <c r="G148" s="1">
        <v>37643</v>
      </c>
      <c r="H148" s="1" t="s">
        <v>525</v>
      </c>
    </row>
    <row r="149" spans="1:8" x14ac:dyDescent="0.35">
      <c r="A149" s="1" t="s">
        <v>969</v>
      </c>
      <c r="B149" s="1" t="s">
        <v>970</v>
      </c>
      <c r="C149" s="1" t="s">
        <v>521</v>
      </c>
      <c r="D149" s="1" t="s">
        <v>971</v>
      </c>
      <c r="E149" s="1" t="s">
        <v>69</v>
      </c>
      <c r="F149" s="1" t="s">
        <v>524</v>
      </c>
      <c r="G149" s="1">
        <v>37643</v>
      </c>
      <c r="H149" s="1" t="s">
        <v>525</v>
      </c>
    </row>
    <row r="150" spans="1:8" x14ac:dyDescent="0.35">
      <c r="A150" s="1" t="s">
        <v>972</v>
      </c>
      <c r="B150" s="1" t="s">
        <v>973</v>
      </c>
      <c r="C150" s="1" t="s">
        <v>521</v>
      </c>
      <c r="D150" s="1" t="s">
        <v>974</v>
      </c>
      <c r="E150" s="1" t="s">
        <v>69</v>
      </c>
      <c r="F150" s="1" t="s">
        <v>524</v>
      </c>
      <c r="G150" s="1">
        <v>37643</v>
      </c>
      <c r="H150" s="1" t="s">
        <v>525</v>
      </c>
    </row>
    <row r="151" spans="1:8" x14ac:dyDescent="0.35">
      <c r="A151" s="1" t="s">
        <v>975</v>
      </c>
      <c r="B151" s="1" t="s">
        <v>976</v>
      </c>
      <c r="C151" s="1" t="s">
        <v>521</v>
      </c>
      <c r="D151" s="1" t="s">
        <v>977</v>
      </c>
      <c r="E151" s="1" t="s">
        <v>978</v>
      </c>
      <c r="F151" s="1" t="s">
        <v>524</v>
      </c>
      <c r="G151" s="1">
        <v>37640</v>
      </c>
      <c r="H151" s="1" t="s">
        <v>525</v>
      </c>
    </row>
    <row r="152" spans="1:8" x14ac:dyDescent="0.35">
      <c r="A152" s="1" t="s">
        <v>979</v>
      </c>
      <c r="B152" s="1" t="s">
        <v>980</v>
      </c>
      <c r="C152" s="1" t="s">
        <v>521</v>
      </c>
      <c r="D152" s="1" t="s">
        <v>981</v>
      </c>
      <c r="E152" s="1" t="s">
        <v>69</v>
      </c>
      <c r="F152" s="1" t="s">
        <v>524</v>
      </c>
      <c r="G152" s="1">
        <v>37643</v>
      </c>
      <c r="H152" s="1" t="s">
        <v>525</v>
      </c>
    </row>
    <row r="153" spans="1:8" x14ac:dyDescent="0.35">
      <c r="A153" s="1" t="s">
        <v>67</v>
      </c>
      <c r="B153" s="1" t="s">
        <v>982</v>
      </c>
      <c r="C153" s="1" t="s">
        <v>521</v>
      </c>
      <c r="D153" s="1" t="s">
        <v>983</v>
      </c>
      <c r="E153" s="1" t="s">
        <v>69</v>
      </c>
      <c r="F153" s="1" t="s">
        <v>524</v>
      </c>
      <c r="G153" s="1">
        <v>37643</v>
      </c>
      <c r="H153" s="1" t="s">
        <v>525</v>
      </c>
    </row>
    <row r="154" spans="1:8" x14ac:dyDescent="0.35">
      <c r="A154" s="1" t="s">
        <v>984</v>
      </c>
      <c r="B154" s="1" t="s">
        <v>985</v>
      </c>
      <c r="C154" s="1" t="s">
        <v>521</v>
      </c>
      <c r="D154" s="1" t="s">
        <v>986</v>
      </c>
      <c r="E154" s="1" t="s">
        <v>69</v>
      </c>
      <c r="F154" s="1" t="s">
        <v>524</v>
      </c>
      <c r="G154" s="1">
        <v>37643</v>
      </c>
      <c r="H154" s="1" t="s">
        <v>525</v>
      </c>
    </row>
    <row r="155" spans="1:8" x14ac:dyDescent="0.35">
      <c r="A155" s="1" t="s">
        <v>987</v>
      </c>
      <c r="B155" s="1" t="s">
        <v>637</v>
      </c>
      <c r="C155" s="1" t="s">
        <v>521</v>
      </c>
      <c r="D155" s="1" t="s">
        <v>988</v>
      </c>
      <c r="E155" s="1" t="s">
        <v>69</v>
      </c>
      <c r="F155" s="1" t="s">
        <v>524</v>
      </c>
      <c r="G155" s="1">
        <v>37643</v>
      </c>
      <c r="H155" s="1" t="s">
        <v>525</v>
      </c>
    </row>
    <row r="156" spans="1:8" x14ac:dyDescent="0.35">
      <c r="A156" s="1" t="s">
        <v>68</v>
      </c>
      <c r="B156" s="1" t="s">
        <v>989</v>
      </c>
      <c r="C156" s="1" t="s">
        <v>521</v>
      </c>
      <c r="D156" s="1" t="s">
        <v>990</v>
      </c>
      <c r="E156" s="1" t="s">
        <v>69</v>
      </c>
      <c r="F156" s="1" t="s">
        <v>524</v>
      </c>
      <c r="G156" s="1">
        <v>37643</v>
      </c>
      <c r="H156" s="1" t="s">
        <v>525</v>
      </c>
    </row>
    <row r="157" spans="1:8" x14ac:dyDescent="0.35">
      <c r="A157" s="1" t="s">
        <v>991</v>
      </c>
      <c r="B157" s="1" t="s">
        <v>992</v>
      </c>
      <c r="C157" s="1" t="s">
        <v>521</v>
      </c>
      <c r="D157" s="1" t="s">
        <v>993</v>
      </c>
      <c r="E157" s="1" t="s">
        <v>69</v>
      </c>
      <c r="F157" s="1" t="s">
        <v>524</v>
      </c>
      <c r="G157" s="1">
        <v>37643</v>
      </c>
      <c r="H157" s="1" t="s">
        <v>525</v>
      </c>
    </row>
    <row r="158" spans="1:8" x14ac:dyDescent="0.35">
      <c r="A158" s="1" t="s">
        <v>994</v>
      </c>
      <c r="B158" s="1" t="s">
        <v>995</v>
      </c>
      <c r="C158" s="1" t="s">
        <v>521</v>
      </c>
      <c r="D158" s="1" t="s">
        <v>996</v>
      </c>
      <c r="E158" s="1" t="s">
        <v>69</v>
      </c>
      <c r="F158" s="1" t="s">
        <v>524</v>
      </c>
      <c r="G158" s="1">
        <v>37643</v>
      </c>
      <c r="H158" s="1" t="s">
        <v>525</v>
      </c>
    </row>
    <row r="159" spans="1:8" x14ac:dyDescent="0.35">
      <c r="A159" s="1" t="s">
        <v>997</v>
      </c>
      <c r="B159" s="1" t="s">
        <v>902</v>
      </c>
      <c r="C159" s="1" t="s">
        <v>521</v>
      </c>
      <c r="D159" s="1" t="s">
        <v>998</v>
      </c>
      <c r="E159" s="1" t="s">
        <v>69</v>
      </c>
      <c r="F159" s="1" t="s">
        <v>524</v>
      </c>
      <c r="G159" s="1">
        <v>37643</v>
      </c>
      <c r="H159" s="1" t="s">
        <v>525</v>
      </c>
    </row>
    <row r="160" spans="1:8" x14ac:dyDescent="0.35">
      <c r="A160" s="1" t="s">
        <v>999</v>
      </c>
      <c r="B160" s="1" t="s">
        <v>1000</v>
      </c>
      <c r="C160" s="1" t="s">
        <v>521</v>
      </c>
      <c r="D160" s="1" t="s">
        <v>1001</v>
      </c>
      <c r="E160" s="1" t="s">
        <v>1002</v>
      </c>
      <c r="F160" s="1" t="s">
        <v>524</v>
      </c>
      <c r="G160" s="1">
        <v>37015</v>
      </c>
      <c r="H160" s="1" t="s">
        <v>525</v>
      </c>
    </row>
    <row r="161" spans="1:8" x14ac:dyDescent="0.35">
      <c r="A161" s="1" t="s">
        <v>70</v>
      </c>
      <c r="B161" s="1" t="s">
        <v>1003</v>
      </c>
      <c r="C161" s="1" t="s">
        <v>521</v>
      </c>
      <c r="D161" s="1" t="s">
        <v>1004</v>
      </c>
      <c r="E161" s="1" t="s">
        <v>1002</v>
      </c>
      <c r="F161" s="1" t="s">
        <v>524</v>
      </c>
      <c r="G161" s="1">
        <v>37015</v>
      </c>
      <c r="H161" s="1" t="s">
        <v>525</v>
      </c>
    </row>
    <row r="162" spans="1:8" x14ac:dyDescent="0.35">
      <c r="A162" s="1" t="s">
        <v>1005</v>
      </c>
      <c r="B162" s="1" t="s">
        <v>1006</v>
      </c>
      <c r="C162" s="1" t="s">
        <v>521</v>
      </c>
      <c r="D162" s="1" t="s">
        <v>1007</v>
      </c>
      <c r="E162" s="1" t="s">
        <v>1002</v>
      </c>
      <c r="F162" s="1" t="s">
        <v>524</v>
      </c>
      <c r="G162" s="1">
        <v>37015</v>
      </c>
      <c r="H162" s="1" t="s">
        <v>525</v>
      </c>
    </row>
    <row r="163" spans="1:8" x14ac:dyDescent="0.35">
      <c r="A163" s="1" t="s">
        <v>1008</v>
      </c>
      <c r="B163" s="1" t="s">
        <v>1009</v>
      </c>
      <c r="C163" s="1" t="s">
        <v>521</v>
      </c>
      <c r="D163" s="1" t="s">
        <v>1010</v>
      </c>
      <c r="E163" s="1" t="s">
        <v>1002</v>
      </c>
      <c r="F163" s="1" t="s">
        <v>524</v>
      </c>
      <c r="G163" s="1">
        <v>37015</v>
      </c>
      <c r="H163" s="1" t="s">
        <v>525</v>
      </c>
    </row>
    <row r="164" spans="1:8" x14ac:dyDescent="0.35">
      <c r="A164" s="1" t="s">
        <v>1011</v>
      </c>
      <c r="B164" s="1" t="s">
        <v>1012</v>
      </c>
      <c r="C164" s="1" t="s">
        <v>521</v>
      </c>
      <c r="D164" s="1" t="s">
        <v>1013</v>
      </c>
      <c r="E164" s="1" t="s">
        <v>1014</v>
      </c>
      <c r="F164" s="1" t="s">
        <v>524</v>
      </c>
      <c r="G164" s="1">
        <v>37082</v>
      </c>
      <c r="H164" s="1" t="s">
        <v>525</v>
      </c>
    </row>
    <row r="165" spans="1:8" x14ac:dyDescent="0.35">
      <c r="A165" s="1" t="s">
        <v>72</v>
      </c>
      <c r="B165" s="1" t="s">
        <v>1015</v>
      </c>
      <c r="C165" s="1" t="s">
        <v>521</v>
      </c>
      <c r="D165" s="1" t="s">
        <v>1016</v>
      </c>
      <c r="E165" s="1" t="s">
        <v>1014</v>
      </c>
      <c r="F165" s="1" t="s">
        <v>524</v>
      </c>
      <c r="G165" s="1">
        <v>37082</v>
      </c>
      <c r="H165" s="1" t="s">
        <v>525</v>
      </c>
    </row>
    <row r="166" spans="1:8" x14ac:dyDescent="0.35">
      <c r="A166" s="1" t="s">
        <v>1017</v>
      </c>
      <c r="B166" s="1" t="s">
        <v>1018</v>
      </c>
      <c r="C166" s="1" t="s">
        <v>521</v>
      </c>
      <c r="D166" s="1" t="s">
        <v>1019</v>
      </c>
      <c r="E166" s="1" t="s">
        <v>1014</v>
      </c>
      <c r="F166" s="1" t="s">
        <v>524</v>
      </c>
      <c r="G166" s="1">
        <v>37082</v>
      </c>
      <c r="H166" s="1" t="s">
        <v>525</v>
      </c>
    </row>
    <row r="167" spans="1:8" x14ac:dyDescent="0.35">
      <c r="A167" s="1" t="s">
        <v>1020</v>
      </c>
      <c r="B167" s="1" t="s">
        <v>1021</v>
      </c>
      <c r="C167" s="1" t="s">
        <v>521</v>
      </c>
      <c r="D167" s="1" t="s">
        <v>1022</v>
      </c>
      <c r="E167" s="1" t="s">
        <v>1023</v>
      </c>
      <c r="F167" s="1" t="s">
        <v>524</v>
      </c>
      <c r="G167" s="1">
        <v>37143</v>
      </c>
      <c r="H167" s="1" t="s">
        <v>525</v>
      </c>
    </row>
    <row r="168" spans="1:8" x14ac:dyDescent="0.35">
      <c r="A168" s="1" t="s">
        <v>1024</v>
      </c>
      <c r="B168" s="1" t="s">
        <v>1025</v>
      </c>
      <c r="C168" s="1" t="s">
        <v>521</v>
      </c>
      <c r="D168" s="1" t="s">
        <v>1026</v>
      </c>
      <c r="E168" s="1" t="s">
        <v>1027</v>
      </c>
      <c r="F168" s="1" t="s">
        <v>524</v>
      </c>
      <c r="G168" s="1">
        <v>37146</v>
      </c>
      <c r="H168" s="1" t="s">
        <v>525</v>
      </c>
    </row>
    <row r="169" spans="1:8" x14ac:dyDescent="0.35">
      <c r="A169" s="1" t="s">
        <v>1028</v>
      </c>
      <c r="B169" s="1" t="s">
        <v>1029</v>
      </c>
      <c r="C169" s="1" t="s">
        <v>521</v>
      </c>
      <c r="D169" s="1" t="s">
        <v>1030</v>
      </c>
      <c r="E169" s="1" t="s">
        <v>1027</v>
      </c>
      <c r="F169" s="1" t="s">
        <v>524</v>
      </c>
      <c r="G169" s="1">
        <v>37146</v>
      </c>
      <c r="H169" s="1" t="s">
        <v>525</v>
      </c>
    </row>
    <row r="170" spans="1:8" x14ac:dyDescent="0.35">
      <c r="A170" s="1" t="s">
        <v>73</v>
      </c>
      <c r="B170" s="1" t="s">
        <v>1031</v>
      </c>
      <c r="C170" s="1" t="s">
        <v>521</v>
      </c>
      <c r="D170" s="1" t="s">
        <v>1032</v>
      </c>
      <c r="E170" s="1" t="s">
        <v>1027</v>
      </c>
      <c r="F170" s="1" t="s">
        <v>524</v>
      </c>
      <c r="G170" s="1">
        <v>37146</v>
      </c>
      <c r="H170" s="1" t="s">
        <v>525</v>
      </c>
    </row>
    <row r="171" spans="1:8" x14ac:dyDescent="0.35">
      <c r="A171" s="1" t="s">
        <v>1033</v>
      </c>
      <c r="B171" s="1" t="s">
        <v>1034</v>
      </c>
      <c r="C171" s="1" t="s">
        <v>521</v>
      </c>
      <c r="D171" s="1" t="s">
        <v>1035</v>
      </c>
      <c r="E171" s="1" t="s">
        <v>1036</v>
      </c>
      <c r="F171" s="1" t="s">
        <v>524</v>
      </c>
      <c r="G171" s="1">
        <v>37035</v>
      </c>
      <c r="H171" s="1" t="s">
        <v>525</v>
      </c>
    </row>
    <row r="172" spans="1:8" x14ac:dyDescent="0.35">
      <c r="A172" s="1" t="s">
        <v>1037</v>
      </c>
      <c r="B172" s="1" t="s">
        <v>1038</v>
      </c>
      <c r="C172" s="1" t="s">
        <v>521</v>
      </c>
      <c r="D172" s="1" t="s">
        <v>1039</v>
      </c>
      <c r="E172" s="1" t="s">
        <v>1002</v>
      </c>
      <c r="F172" s="1" t="s">
        <v>524</v>
      </c>
      <c r="G172" s="1">
        <v>37015</v>
      </c>
      <c r="H172" s="1" t="s">
        <v>525</v>
      </c>
    </row>
    <row r="173" spans="1:8" x14ac:dyDescent="0.35">
      <c r="A173" s="1" t="s">
        <v>1040</v>
      </c>
      <c r="B173" s="1" t="s">
        <v>1041</v>
      </c>
      <c r="C173" s="1" t="s">
        <v>521</v>
      </c>
      <c r="D173" s="1" t="s">
        <v>1042</v>
      </c>
      <c r="E173" s="1" t="s">
        <v>1043</v>
      </c>
      <c r="F173" s="1" t="s">
        <v>524</v>
      </c>
      <c r="G173" s="1">
        <v>38340</v>
      </c>
      <c r="H173" s="1" t="s">
        <v>525</v>
      </c>
    </row>
    <row r="174" spans="1:8" x14ac:dyDescent="0.35">
      <c r="A174" s="1" t="s">
        <v>74</v>
      </c>
      <c r="B174" s="1" t="s">
        <v>1044</v>
      </c>
      <c r="C174" s="1" t="s">
        <v>521</v>
      </c>
      <c r="D174" s="1" t="s">
        <v>1045</v>
      </c>
      <c r="E174" s="1" t="s">
        <v>1043</v>
      </c>
      <c r="F174" s="1" t="s">
        <v>524</v>
      </c>
      <c r="G174" s="1">
        <v>38340</v>
      </c>
      <c r="H174" s="1" t="s">
        <v>525</v>
      </c>
    </row>
    <row r="175" spans="1:8" x14ac:dyDescent="0.35">
      <c r="A175" s="1" t="s">
        <v>1046</v>
      </c>
      <c r="B175" s="1" t="s">
        <v>1047</v>
      </c>
      <c r="C175" s="1" t="s">
        <v>521</v>
      </c>
      <c r="D175" s="1" t="s">
        <v>1048</v>
      </c>
      <c r="E175" s="1" t="s">
        <v>1043</v>
      </c>
      <c r="F175" s="1" t="s">
        <v>524</v>
      </c>
      <c r="G175" s="1">
        <v>38340</v>
      </c>
      <c r="H175" s="1" t="s">
        <v>525</v>
      </c>
    </row>
    <row r="176" spans="1:8" x14ac:dyDescent="0.35">
      <c r="A176" s="1" t="s">
        <v>1049</v>
      </c>
      <c r="B176" s="1" t="s">
        <v>1050</v>
      </c>
      <c r="C176" s="1" t="s">
        <v>521</v>
      </c>
      <c r="D176" s="1" t="s">
        <v>1051</v>
      </c>
      <c r="E176" s="1" t="s">
        <v>1043</v>
      </c>
      <c r="F176" s="1" t="s">
        <v>524</v>
      </c>
      <c r="G176" s="1">
        <v>38340</v>
      </c>
      <c r="H176" s="1" t="s">
        <v>525</v>
      </c>
    </row>
    <row r="177" spans="1:8" x14ac:dyDescent="0.35">
      <c r="A177" s="1" t="s">
        <v>1052</v>
      </c>
      <c r="B177" s="1" t="s">
        <v>1053</v>
      </c>
      <c r="C177" s="1" t="s">
        <v>521</v>
      </c>
      <c r="D177" s="1" t="s">
        <v>1054</v>
      </c>
      <c r="E177" s="1" t="s">
        <v>1055</v>
      </c>
      <c r="F177" s="1" t="s">
        <v>524</v>
      </c>
      <c r="G177" s="1">
        <v>38347</v>
      </c>
      <c r="H177" s="1" t="s">
        <v>525</v>
      </c>
    </row>
    <row r="178" spans="1:8" x14ac:dyDescent="0.35">
      <c r="A178" s="1" t="s">
        <v>1056</v>
      </c>
      <c r="B178" s="1" t="s">
        <v>1057</v>
      </c>
      <c r="C178" s="1" t="s">
        <v>521</v>
      </c>
      <c r="D178" s="1" t="s">
        <v>1058</v>
      </c>
      <c r="E178" s="1" t="s">
        <v>1043</v>
      </c>
      <c r="F178" s="1" t="s">
        <v>524</v>
      </c>
      <c r="G178" s="1">
        <v>38340</v>
      </c>
      <c r="H178" s="1" t="s">
        <v>525</v>
      </c>
    </row>
    <row r="179" spans="1:8" x14ac:dyDescent="0.35">
      <c r="A179" s="1" t="s">
        <v>1059</v>
      </c>
      <c r="B179" s="1" t="s">
        <v>1060</v>
      </c>
      <c r="C179" s="1" t="s">
        <v>521</v>
      </c>
      <c r="D179" s="1" t="s">
        <v>1061</v>
      </c>
      <c r="E179" s="1" t="s">
        <v>1062</v>
      </c>
      <c r="F179" s="1" t="s">
        <v>524</v>
      </c>
      <c r="G179" s="1">
        <v>37715</v>
      </c>
      <c r="H179" s="1" t="s">
        <v>525</v>
      </c>
    </row>
    <row r="180" spans="1:8" x14ac:dyDescent="0.35">
      <c r="A180" s="1" t="s">
        <v>1063</v>
      </c>
      <c r="B180" s="1" t="s">
        <v>1064</v>
      </c>
      <c r="C180" s="1" t="s">
        <v>521</v>
      </c>
      <c r="D180" s="1" t="s">
        <v>1065</v>
      </c>
      <c r="E180" s="1" t="s">
        <v>1066</v>
      </c>
      <c r="F180" s="1" t="s">
        <v>524</v>
      </c>
      <c r="G180" s="1">
        <v>37752</v>
      </c>
      <c r="H180" s="1" t="s">
        <v>525</v>
      </c>
    </row>
    <row r="181" spans="1:8" x14ac:dyDescent="0.35">
      <c r="A181" s="1" t="s">
        <v>1067</v>
      </c>
      <c r="B181" s="1" t="s">
        <v>1068</v>
      </c>
      <c r="C181" s="1" t="s">
        <v>521</v>
      </c>
      <c r="D181" s="1" t="s">
        <v>1069</v>
      </c>
      <c r="E181" s="1" t="s">
        <v>1066</v>
      </c>
      <c r="F181" s="1" t="s">
        <v>524</v>
      </c>
      <c r="G181" s="1">
        <v>37752</v>
      </c>
      <c r="H181" s="1" t="s">
        <v>525</v>
      </c>
    </row>
    <row r="182" spans="1:8" x14ac:dyDescent="0.35">
      <c r="A182" s="1" t="s">
        <v>1070</v>
      </c>
      <c r="B182" s="1" t="s">
        <v>1071</v>
      </c>
      <c r="C182" s="1" t="s">
        <v>521</v>
      </c>
      <c r="D182" s="1" t="s">
        <v>1072</v>
      </c>
      <c r="E182" s="1" t="s">
        <v>1066</v>
      </c>
      <c r="F182" s="1" t="s">
        <v>524</v>
      </c>
      <c r="G182" s="1">
        <v>37752</v>
      </c>
      <c r="H182" s="1" t="s">
        <v>525</v>
      </c>
    </row>
    <row r="183" spans="1:8" x14ac:dyDescent="0.35">
      <c r="A183" s="1" t="s">
        <v>1073</v>
      </c>
      <c r="B183" s="1" t="s">
        <v>1074</v>
      </c>
      <c r="C183" s="1" t="s">
        <v>521</v>
      </c>
      <c r="D183" s="1" t="s">
        <v>1075</v>
      </c>
      <c r="E183" s="1" t="s">
        <v>1076</v>
      </c>
      <c r="F183" s="1" t="s">
        <v>524</v>
      </c>
      <c r="G183" s="1">
        <v>37825</v>
      </c>
      <c r="H183" s="1" t="s">
        <v>525</v>
      </c>
    </row>
    <row r="184" spans="1:8" x14ac:dyDescent="0.35">
      <c r="A184" s="1" t="s">
        <v>76</v>
      </c>
      <c r="B184" s="1" t="s">
        <v>1077</v>
      </c>
      <c r="C184" s="1" t="s">
        <v>521</v>
      </c>
      <c r="D184" s="1" t="s">
        <v>1078</v>
      </c>
      <c r="E184" s="1" t="s">
        <v>1079</v>
      </c>
      <c r="F184" s="1" t="s">
        <v>524</v>
      </c>
      <c r="G184" s="1">
        <v>37724</v>
      </c>
      <c r="H184" s="1" t="s">
        <v>525</v>
      </c>
    </row>
    <row r="185" spans="1:8" x14ac:dyDescent="0.35">
      <c r="A185" s="1" t="s">
        <v>1080</v>
      </c>
      <c r="B185" s="1" t="s">
        <v>1081</v>
      </c>
      <c r="C185" s="1" t="s">
        <v>521</v>
      </c>
      <c r="D185" s="1" t="s">
        <v>1082</v>
      </c>
      <c r="E185" s="1" t="s">
        <v>1083</v>
      </c>
      <c r="F185" s="1" t="s">
        <v>524</v>
      </c>
      <c r="G185" s="1">
        <v>37870</v>
      </c>
      <c r="H185" s="1" t="s">
        <v>525</v>
      </c>
    </row>
    <row r="186" spans="1:8" x14ac:dyDescent="0.35">
      <c r="A186" s="1" t="s">
        <v>1084</v>
      </c>
      <c r="B186" s="1" t="s">
        <v>1085</v>
      </c>
      <c r="C186" s="1" t="s">
        <v>521</v>
      </c>
      <c r="D186" s="1" t="s">
        <v>1086</v>
      </c>
      <c r="E186" s="1" t="s">
        <v>1087</v>
      </c>
      <c r="F186" s="1" t="s">
        <v>524</v>
      </c>
      <c r="G186" s="1">
        <v>37879</v>
      </c>
      <c r="H186" s="1" t="s">
        <v>525</v>
      </c>
    </row>
    <row r="187" spans="1:8" x14ac:dyDescent="0.35">
      <c r="A187" s="1" t="s">
        <v>78</v>
      </c>
      <c r="B187" s="1" t="s">
        <v>1088</v>
      </c>
      <c r="C187" s="1" t="s">
        <v>521</v>
      </c>
      <c r="D187" s="1" t="s">
        <v>1089</v>
      </c>
      <c r="E187" s="1" t="s">
        <v>1076</v>
      </c>
      <c r="F187" s="1" t="s">
        <v>524</v>
      </c>
      <c r="G187" s="1">
        <v>37825</v>
      </c>
      <c r="H187" s="1" t="s">
        <v>525</v>
      </c>
    </row>
    <row r="188" spans="1:8" x14ac:dyDescent="0.35">
      <c r="A188" s="1" t="s">
        <v>1090</v>
      </c>
      <c r="B188" s="1" t="s">
        <v>1091</v>
      </c>
      <c r="C188" s="1" t="s">
        <v>521</v>
      </c>
      <c r="D188" s="1" t="s">
        <v>1092</v>
      </c>
      <c r="E188" s="1" t="s">
        <v>1087</v>
      </c>
      <c r="F188" s="1" t="s">
        <v>524</v>
      </c>
      <c r="G188" s="1">
        <v>37879</v>
      </c>
      <c r="H188" s="1" t="s">
        <v>525</v>
      </c>
    </row>
    <row r="189" spans="1:8" x14ac:dyDescent="0.35">
      <c r="A189" s="1" t="s">
        <v>1093</v>
      </c>
      <c r="B189" s="1" t="s">
        <v>1094</v>
      </c>
      <c r="C189" s="1" t="s">
        <v>521</v>
      </c>
      <c r="D189" s="1" t="s">
        <v>1095</v>
      </c>
      <c r="E189" s="1" t="s">
        <v>1076</v>
      </c>
      <c r="F189" s="1" t="s">
        <v>524</v>
      </c>
      <c r="G189" s="1">
        <v>37825</v>
      </c>
      <c r="H189" s="1" t="s">
        <v>525</v>
      </c>
    </row>
    <row r="190" spans="1:8" x14ac:dyDescent="0.35">
      <c r="A190" s="1" t="s">
        <v>1096</v>
      </c>
      <c r="B190" s="1" t="s">
        <v>1097</v>
      </c>
      <c r="C190" s="1" t="s">
        <v>521</v>
      </c>
      <c r="D190" s="1" t="s">
        <v>1098</v>
      </c>
      <c r="E190" s="1" t="s">
        <v>1099</v>
      </c>
      <c r="F190" s="1" t="s">
        <v>524</v>
      </c>
      <c r="G190" s="1">
        <v>38551</v>
      </c>
      <c r="H190" s="1" t="s">
        <v>525</v>
      </c>
    </row>
    <row r="191" spans="1:8" x14ac:dyDescent="0.35">
      <c r="A191" s="1" t="s">
        <v>79</v>
      </c>
      <c r="B191" s="1" t="s">
        <v>1100</v>
      </c>
      <c r="C191" s="1" t="s">
        <v>521</v>
      </c>
      <c r="D191" s="1" t="s">
        <v>1101</v>
      </c>
      <c r="E191" s="1" t="s">
        <v>1099</v>
      </c>
      <c r="F191" s="1" t="s">
        <v>524</v>
      </c>
      <c r="G191" s="1">
        <v>38551</v>
      </c>
      <c r="H191" s="1" t="s">
        <v>525</v>
      </c>
    </row>
    <row r="192" spans="1:8" x14ac:dyDescent="0.35">
      <c r="A192" s="1" t="s">
        <v>1102</v>
      </c>
      <c r="B192" s="1" t="s">
        <v>1103</v>
      </c>
      <c r="C192" s="1" t="s">
        <v>521</v>
      </c>
      <c r="D192" s="1" t="s">
        <v>1104</v>
      </c>
      <c r="E192" s="1" t="s">
        <v>1105</v>
      </c>
      <c r="F192" s="1" t="s">
        <v>524</v>
      </c>
      <c r="G192" s="1">
        <v>37150</v>
      </c>
      <c r="H192" s="1" t="s">
        <v>525</v>
      </c>
    </row>
    <row r="193" spans="1:8" x14ac:dyDescent="0.35">
      <c r="A193" s="1" t="s">
        <v>1106</v>
      </c>
      <c r="B193" s="1" t="s">
        <v>1107</v>
      </c>
      <c r="C193" s="1" t="s">
        <v>521</v>
      </c>
      <c r="D193" s="1" t="s">
        <v>1108</v>
      </c>
      <c r="E193" s="1" t="s">
        <v>1109</v>
      </c>
      <c r="F193" s="1" t="s">
        <v>524</v>
      </c>
      <c r="G193" s="1">
        <v>37821</v>
      </c>
      <c r="H193" s="1" t="s">
        <v>525</v>
      </c>
    </row>
    <row r="194" spans="1:8" x14ac:dyDescent="0.35">
      <c r="A194" s="1" t="s">
        <v>1110</v>
      </c>
      <c r="B194" s="1" t="s">
        <v>1111</v>
      </c>
      <c r="C194" s="1" t="s">
        <v>521</v>
      </c>
      <c r="D194" s="1" t="s">
        <v>1112</v>
      </c>
      <c r="E194" s="1" t="s">
        <v>1109</v>
      </c>
      <c r="F194" s="1" t="s">
        <v>524</v>
      </c>
      <c r="G194" s="1">
        <v>37821</v>
      </c>
      <c r="H194" s="1" t="s">
        <v>525</v>
      </c>
    </row>
    <row r="195" spans="1:8" x14ac:dyDescent="0.35">
      <c r="A195" s="1" t="s">
        <v>81</v>
      </c>
      <c r="B195" s="1" t="s">
        <v>1113</v>
      </c>
      <c r="C195" s="1" t="s">
        <v>521</v>
      </c>
      <c r="D195" s="1" t="s">
        <v>1114</v>
      </c>
      <c r="E195" s="1" t="s">
        <v>1109</v>
      </c>
      <c r="F195" s="1" t="s">
        <v>524</v>
      </c>
      <c r="G195" s="1">
        <v>37821</v>
      </c>
      <c r="H195" s="1" t="s">
        <v>525</v>
      </c>
    </row>
    <row r="196" spans="1:8" x14ac:dyDescent="0.35">
      <c r="A196" s="1" t="s">
        <v>1115</v>
      </c>
      <c r="B196" s="1" t="s">
        <v>1116</v>
      </c>
      <c r="C196" s="1" t="s">
        <v>521</v>
      </c>
      <c r="D196" s="1" t="s">
        <v>1117</v>
      </c>
      <c r="E196" s="1" t="s">
        <v>1118</v>
      </c>
      <c r="F196" s="1" t="s">
        <v>524</v>
      </c>
      <c r="G196" s="1">
        <v>37722</v>
      </c>
      <c r="H196" s="1" t="s">
        <v>525</v>
      </c>
    </row>
    <row r="197" spans="1:8" x14ac:dyDescent="0.35">
      <c r="A197" s="1" t="s">
        <v>83</v>
      </c>
      <c r="B197" s="1" t="s">
        <v>1119</v>
      </c>
      <c r="C197" s="1" t="s">
        <v>521</v>
      </c>
      <c r="D197" s="1" t="s">
        <v>1120</v>
      </c>
      <c r="E197" s="1" t="s">
        <v>1118</v>
      </c>
      <c r="F197" s="1" t="s">
        <v>524</v>
      </c>
      <c r="G197" s="1">
        <v>37722</v>
      </c>
      <c r="H197" s="1" t="s">
        <v>525</v>
      </c>
    </row>
    <row r="198" spans="1:8" x14ac:dyDescent="0.35">
      <c r="A198" s="1" t="s">
        <v>1121</v>
      </c>
      <c r="B198" s="1" t="s">
        <v>1122</v>
      </c>
      <c r="C198" s="1" t="s">
        <v>521</v>
      </c>
      <c r="D198" s="1" t="s">
        <v>1123</v>
      </c>
      <c r="E198" s="1" t="s">
        <v>1124</v>
      </c>
      <c r="F198" s="1" t="s">
        <v>524</v>
      </c>
      <c r="G198" s="1">
        <v>37727</v>
      </c>
      <c r="H198" s="1" t="s">
        <v>525</v>
      </c>
    </row>
    <row r="199" spans="1:8" x14ac:dyDescent="0.35">
      <c r="A199" s="1" t="s">
        <v>1125</v>
      </c>
      <c r="B199" s="1" t="s">
        <v>1126</v>
      </c>
      <c r="C199" s="1" t="s">
        <v>521</v>
      </c>
      <c r="D199" s="1" t="s">
        <v>1127</v>
      </c>
      <c r="E199" s="1" t="s">
        <v>1109</v>
      </c>
      <c r="F199" s="1" t="s">
        <v>524</v>
      </c>
      <c r="G199" s="1">
        <v>37821</v>
      </c>
      <c r="H199" s="1" t="s">
        <v>525</v>
      </c>
    </row>
    <row r="200" spans="1:8" x14ac:dyDescent="0.35">
      <c r="A200" s="1" t="s">
        <v>1128</v>
      </c>
      <c r="B200" s="1" t="s">
        <v>1129</v>
      </c>
      <c r="C200" s="1" t="s">
        <v>521</v>
      </c>
      <c r="D200" s="1" t="s">
        <v>1130</v>
      </c>
      <c r="E200" s="1" t="s">
        <v>1131</v>
      </c>
      <c r="F200" s="1" t="s">
        <v>524</v>
      </c>
      <c r="G200" s="1">
        <v>37753</v>
      </c>
      <c r="H200" s="1" t="s">
        <v>525</v>
      </c>
    </row>
    <row r="201" spans="1:8" x14ac:dyDescent="0.35">
      <c r="A201" s="1" t="s">
        <v>1132</v>
      </c>
      <c r="B201" s="1" t="s">
        <v>1133</v>
      </c>
      <c r="C201" s="1" t="s">
        <v>521</v>
      </c>
      <c r="D201" s="1" t="s">
        <v>1134</v>
      </c>
      <c r="E201" s="1" t="s">
        <v>1109</v>
      </c>
      <c r="F201" s="1" t="s">
        <v>524</v>
      </c>
      <c r="G201" s="1">
        <v>37821</v>
      </c>
      <c r="H201" s="1" t="s">
        <v>525</v>
      </c>
    </row>
    <row r="202" spans="1:8" x14ac:dyDescent="0.35">
      <c r="A202" s="1" t="s">
        <v>1135</v>
      </c>
      <c r="B202" s="1" t="s">
        <v>1136</v>
      </c>
      <c r="C202" s="1" t="s">
        <v>521</v>
      </c>
      <c r="D202" s="1" t="s">
        <v>1137</v>
      </c>
      <c r="E202" s="1" t="s">
        <v>1138</v>
      </c>
      <c r="F202" s="1" t="s">
        <v>524</v>
      </c>
      <c r="G202" s="1">
        <v>37843</v>
      </c>
      <c r="H202" s="1" t="s">
        <v>525</v>
      </c>
    </row>
    <row r="203" spans="1:8" x14ac:dyDescent="0.35">
      <c r="A203" s="1" t="s">
        <v>1139</v>
      </c>
      <c r="B203" s="1" t="s">
        <v>1140</v>
      </c>
      <c r="C203" s="1" t="s">
        <v>521</v>
      </c>
      <c r="D203" s="1" t="s">
        <v>1141</v>
      </c>
      <c r="E203" s="1" t="s">
        <v>1118</v>
      </c>
      <c r="F203" s="1" t="s">
        <v>524</v>
      </c>
      <c r="G203" s="1">
        <v>37722</v>
      </c>
      <c r="H203" s="1" t="s">
        <v>525</v>
      </c>
    </row>
    <row r="204" spans="1:8" x14ac:dyDescent="0.35">
      <c r="A204" s="1" t="s">
        <v>1142</v>
      </c>
      <c r="B204" s="1" t="s">
        <v>1143</v>
      </c>
      <c r="C204" s="1" t="s">
        <v>521</v>
      </c>
      <c r="D204" s="1" t="s">
        <v>1144</v>
      </c>
      <c r="E204" s="1" t="s">
        <v>1109</v>
      </c>
      <c r="F204" s="1" t="s">
        <v>524</v>
      </c>
      <c r="G204" s="1">
        <v>37821</v>
      </c>
      <c r="H204" s="1" t="s">
        <v>525</v>
      </c>
    </row>
    <row r="205" spans="1:8" x14ac:dyDescent="0.35">
      <c r="A205" s="1" t="s">
        <v>84</v>
      </c>
      <c r="B205" s="1" t="s">
        <v>1145</v>
      </c>
      <c r="C205" s="1" t="s">
        <v>521</v>
      </c>
      <c r="D205" s="1" t="s">
        <v>1146</v>
      </c>
      <c r="E205" s="1" t="s">
        <v>1147</v>
      </c>
      <c r="F205" s="1" t="s">
        <v>524</v>
      </c>
      <c r="G205" s="1">
        <v>37355</v>
      </c>
      <c r="H205" s="1" t="s">
        <v>525</v>
      </c>
    </row>
    <row r="206" spans="1:8" x14ac:dyDescent="0.35">
      <c r="A206" s="1" t="s">
        <v>1148</v>
      </c>
      <c r="B206" s="1" t="s">
        <v>1149</v>
      </c>
      <c r="C206" s="1" t="s">
        <v>521</v>
      </c>
      <c r="D206" s="1" t="s">
        <v>1150</v>
      </c>
      <c r="E206" s="1" t="s">
        <v>1147</v>
      </c>
      <c r="F206" s="1" t="s">
        <v>524</v>
      </c>
      <c r="G206" s="1">
        <v>37355</v>
      </c>
      <c r="H206" s="1" t="s">
        <v>525</v>
      </c>
    </row>
    <row r="207" spans="1:8" x14ac:dyDescent="0.35">
      <c r="A207" s="1" t="s">
        <v>1151</v>
      </c>
      <c r="B207" s="1" t="s">
        <v>1152</v>
      </c>
      <c r="C207" s="1" t="s">
        <v>521</v>
      </c>
      <c r="D207" s="1" t="s">
        <v>1153</v>
      </c>
      <c r="E207" s="1" t="s">
        <v>1147</v>
      </c>
      <c r="F207" s="1" t="s">
        <v>524</v>
      </c>
      <c r="G207" s="1">
        <v>37355</v>
      </c>
      <c r="H207" s="1" t="s">
        <v>525</v>
      </c>
    </row>
    <row r="208" spans="1:8" x14ac:dyDescent="0.35">
      <c r="A208" s="1" t="s">
        <v>1154</v>
      </c>
      <c r="B208" s="1" t="s">
        <v>1155</v>
      </c>
      <c r="C208" s="1" t="s">
        <v>521</v>
      </c>
      <c r="D208" s="1" t="s">
        <v>1156</v>
      </c>
      <c r="E208" s="1" t="s">
        <v>87</v>
      </c>
      <c r="F208" s="1" t="s">
        <v>524</v>
      </c>
      <c r="G208" s="1">
        <v>37388</v>
      </c>
      <c r="H208" s="1" t="s">
        <v>525</v>
      </c>
    </row>
    <row r="209" spans="1:8" x14ac:dyDescent="0.35">
      <c r="A209" s="1" t="s">
        <v>1157</v>
      </c>
      <c r="B209" s="1" t="s">
        <v>1158</v>
      </c>
      <c r="C209" s="1" t="s">
        <v>521</v>
      </c>
      <c r="D209" s="1" t="s">
        <v>1159</v>
      </c>
      <c r="E209" s="1" t="s">
        <v>1160</v>
      </c>
      <c r="F209" s="1" t="s">
        <v>524</v>
      </c>
      <c r="G209" s="1">
        <v>37342</v>
      </c>
      <c r="H209" s="1" t="s">
        <v>525</v>
      </c>
    </row>
    <row r="210" spans="1:8" x14ac:dyDescent="0.35">
      <c r="A210" s="1" t="s">
        <v>1161</v>
      </c>
      <c r="B210" s="1" t="s">
        <v>1162</v>
      </c>
      <c r="C210" s="1" t="s">
        <v>521</v>
      </c>
      <c r="D210" s="1" t="s">
        <v>1163</v>
      </c>
      <c r="E210" s="1" t="s">
        <v>1147</v>
      </c>
      <c r="F210" s="1" t="s">
        <v>524</v>
      </c>
      <c r="G210" s="1">
        <v>37355</v>
      </c>
      <c r="H210" s="1" t="s">
        <v>525</v>
      </c>
    </row>
    <row r="211" spans="1:8" x14ac:dyDescent="0.35">
      <c r="A211" s="1" t="s">
        <v>1164</v>
      </c>
      <c r="B211" s="1" t="s">
        <v>1165</v>
      </c>
      <c r="C211" s="1" t="s">
        <v>521</v>
      </c>
      <c r="D211" s="1" t="s">
        <v>1166</v>
      </c>
      <c r="E211" s="1" t="s">
        <v>1147</v>
      </c>
      <c r="F211" s="1" t="s">
        <v>524</v>
      </c>
      <c r="G211" s="1">
        <v>37355</v>
      </c>
      <c r="H211" s="1" t="s">
        <v>525</v>
      </c>
    </row>
    <row r="212" spans="1:8" x14ac:dyDescent="0.35">
      <c r="A212" s="1" t="s">
        <v>1167</v>
      </c>
      <c r="B212" s="1" t="s">
        <v>1168</v>
      </c>
      <c r="C212" s="1" t="s">
        <v>521</v>
      </c>
      <c r="D212" s="1" t="s">
        <v>1169</v>
      </c>
      <c r="E212" s="1" t="s">
        <v>1147</v>
      </c>
      <c r="F212" s="1" t="s">
        <v>524</v>
      </c>
      <c r="G212" s="1">
        <v>37355</v>
      </c>
      <c r="H212" s="1" t="s">
        <v>525</v>
      </c>
    </row>
    <row r="213" spans="1:8" x14ac:dyDescent="0.35">
      <c r="A213" s="1" t="s">
        <v>1170</v>
      </c>
      <c r="B213" s="1" t="s">
        <v>1171</v>
      </c>
      <c r="C213" s="1" t="s">
        <v>521</v>
      </c>
      <c r="D213" s="1" t="s">
        <v>1172</v>
      </c>
      <c r="E213" s="1" t="s">
        <v>1147</v>
      </c>
      <c r="F213" s="1" t="s">
        <v>524</v>
      </c>
      <c r="G213" s="1">
        <v>37355</v>
      </c>
      <c r="H213" s="1" t="s">
        <v>525</v>
      </c>
    </row>
    <row r="214" spans="1:8" x14ac:dyDescent="0.35">
      <c r="A214" s="1" t="s">
        <v>1173</v>
      </c>
      <c r="B214" s="1" t="s">
        <v>1174</v>
      </c>
      <c r="C214" s="1" t="s">
        <v>521</v>
      </c>
      <c r="D214" s="1" t="s">
        <v>1175</v>
      </c>
      <c r="E214" s="1" t="s">
        <v>1147</v>
      </c>
      <c r="F214" s="1" t="s">
        <v>524</v>
      </c>
      <c r="G214" s="1">
        <v>37355</v>
      </c>
      <c r="H214" s="1" t="s">
        <v>525</v>
      </c>
    </row>
    <row r="215" spans="1:8" x14ac:dyDescent="0.35">
      <c r="A215" s="1" t="s">
        <v>1176</v>
      </c>
      <c r="B215" s="1" t="s">
        <v>1177</v>
      </c>
      <c r="C215" s="1" t="s">
        <v>521</v>
      </c>
      <c r="D215" s="1" t="s">
        <v>1178</v>
      </c>
      <c r="E215" s="1" t="s">
        <v>1147</v>
      </c>
      <c r="F215" s="1" t="s">
        <v>524</v>
      </c>
      <c r="G215" s="1">
        <v>37355</v>
      </c>
      <c r="H215" s="1" t="s">
        <v>525</v>
      </c>
    </row>
    <row r="216" spans="1:8" x14ac:dyDescent="0.35">
      <c r="A216" s="1" t="s">
        <v>1179</v>
      </c>
      <c r="B216" s="1" t="s">
        <v>1180</v>
      </c>
      <c r="C216" s="1" t="s">
        <v>521</v>
      </c>
      <c r="D216" s="1" t="s">
        <v>1181</v>
      </c>
      <c r="E216" s="1" t="s">
        <v>1147</v>
      </c>
      <c r="F216" s="1" t="s">
        <v>524</v>
      </c>
      <c r="G216" s="1">
        <v>37355</v>
      </c>
      <c r="H216" s="1" t="s">
        <v>525</v>
      </c>
    </row>
    <row r="217" spans="1:8" x14ac:dyDescent="0.35">
      <c r="A217" s="1" t="s">
        <v>1182</v>
      </c>
      <c r="B217" s="1" t="s">
        <v>1183</v>
      </c>
      <c r="C217" s="1" t="s">
        <v>521</v>
      </c>
      <c r="D217" s="1" t="s">
        <v>1184</v>
      </c>
      <c r="E217" s="1" t="s">
        <v>87</v>
      </c>
      <c r="F217" s="1" t="s">
        <v>524</v>
      </c>
      <c r="G217" s="1">
        <v>37388</v>
      </c>
      <c r="H217" s="1" t="s">
        <v>525</v>
      </c>
    </row>
    <row r="218" spans="1:8" x14ac:dyDescent="0.35">
      <c r="A218" s="1" t="s">
        <v>1185</v>
      </c>
      <c r="B218" s="1" t="s">
        <v>1186</v>
      </c>
      <c r="C218" s="1" t="s">
        <v>521</v>
      </c>
      <c r="D218" s="1" t="s">
        <v>1187</v>
      </c>
      <c r="E218" s="1" t="s">
        <v>87</v>
      </c>
      <c r="F218" s="1" t="s">
        <v>524</v>
      </c>
      <c r="G218" s="1">
        <v>37388</v>
      </c>
      <c r="H218" s="1" t="s">
        <v>525</v>
      </c>
    </row>
    <row r="219" spans="1:8" x14ac:dyDescent="0.35">
      <c r="A219" s="1" t="s">
        <v>1188</v>
      </c>
      <c r="B219" s="1" t="s">
        <v>1189</v>
      </c>
      <c r="C219" s="1" t="s">
        <v>521</v>
      </c>
      <c r="D219" s="1" t="s">
        <v>1190</v>
      </c>
      <c r="E219" s="1" t="s">
        <v>87</v>
      </c>
      <c r="F219" s="1" t="s">
        <v>524</v>
      </c>
      <c r="G219" s="1">
        <v>37388</v>
      </c>
      <c r="H219" s="1" t="s">
        <v>525</v>
      </c>
    </row>
    <row r="220" spans="1:8" x14ac:dyDescent="0.35">
      <c r="A220" s="1" t="s">
        <v>1191</v>
      </c>
      <c r="B220" s="1" t="s">
        <v>1192</v>
      </c>
      <c r="C220" s="1" t="s">
        <v>521</v>
      </c>
      <c r="D220" s="1" t="s">
        <v>1193</v>
      </c>
      <c r="E220" s="1" t="s">
        <v>87</v>
      </c>
      <c r="F220" s="1" t="s">
        <v>524</v>
      </c>
      <c r="G220" s="1">
        <v>37388</v>
      </c>
      <c r="H220" s="1" t="s">
        <v>525</v>
      </c>
    </row>
    <row r="221" spans="1:8" x14ac:dyDescent="0.35">
      <c r="A221" s="1" t="s">
        <v>1194</v>
      </c>
      <c r="B221" s="1" t="s">
        <v>1195</v>
      </c>
      <c r="C221" s="1" t="s">
        <v>521</v>
      </c>
      <c r="D221" s="1" t="s">
        <v>1196</v>
      </c>
      <c r="E221" s="1" t="s">
        <v>87</v>
      </c>
      <c r="F221" s="1" t="s">
        <v>524</v>
      </c>
      <c r="G221" s="1">
        <v>37388</v>
      </c>
      <c r="H221" s="1" t="s">
        <v>525</v>
      </c>
    </row>
    <row r="222" spans="1:8" x14ac:dyDescent="0.35">
      <c r="A222" s="1" t="s">
        <v>86</v>
      </c>
      <c r="B222" s="1" t="s">
        <v>1197</v>
      </c>
      <c r="C222" s="1" t="s">
        <v>521</v>
      </c>
      <c r="D222" s="1" t="s">
        <v>1198</v>
      </c>
      <c r="E222" s="1" t="s">
        <v>87</v>
      </c>
      <c r="F222" s="1" t="s">
        <v>524</v>
      </c>
      <c r="G222" s="1">
        <v>37388</v>
      </c>
      <c r="H222" s="1" t="s">
        <v>525</v>
      </c>
    </row>
    <row r="223" spans="1:8" x14ac:dyDescent="0.35">
      <c r="A223" s="1" t="s">
        <v>1199</v>
      </c>
      <c r="B223" s="1" t="s">
        <v>1200</v>
      </c>
      <c r="C223" s="1" t="s">
        <v>521</v>
      </c>
      <c r="D223" s="1" t="s">
        <v>1201</v>
      </c>
      <c r="E223" s="1" t="s">
        <v>87</v>
      </c>
      <c r="F223" s="1" t="s">
        <v>524</v>
      </c>
      <c r="G223" s="1">
        <v>37388</v>
      </c>
      <c r="H223" s="1" t="s">
        <v>525</v>
      </c>
    </row>
    <row r="224" spans="1:8" x14ac:dyDescent="0.35">
      <c r="A224" s="1" t="s">
        <v>88</v>
      </c>
      <c r="B224" s="1" t="s">
        <v>1202</v>
      </c>
      <c r="C224" s="1" t="s">
        <v>521</v>
      </c>
      <c r="D224" s="1" t="s">
        <v>1203</v>
      </c>
      <c r="E224" s="1" t="s">
        <v>1204</v>
      </c>
      <c r="F224" s="1" t="s">
        <v>524</v>
      </c>
      <c r="G224" s="1">
        <v>38001</v>
      </c>
      <c r="H224" s="1" t="s">
        <v>525</v>
      </c>
    </row>
    <row r="225" spans="1:8" x14ac:dyDescent="0.35">
      <c r="A225" s="1" t="s">
        <v>1205</v>
      </c>
      <c r="B225" s="1" t="s">
        <v>1206</v>
      </c>
      <c r="C225" s="1" t="s">
        <v>521</v>
      </c>
      <c r="D225" s="1" t="s">
        <v>1207</v>
      </c>
      <c r="E225" s="1" t="s">
        <v>1204</v>
      </c>
      <c r="F225" s="1" t="s">
        <v>524</v>
      </c>
      <c r="G225" s="1">
        <v>38001</v>
      </c>
      <c r="H225" s="1" t="s">
        <v>525</v>
      </c>
    </row>
    <row r="226" spans="1:8" x14ac:dyDescent="0.35">
      <c r="A226" s="1" t="s">
        <v>1208</v>
      </c>
      <c r="B226" s="1" t="s">
        <v>1209</v>
      </c>
      <c r="C226" s="1" t="s">
        <v>521</v>
      </c>
      <c r="D226" s="1" t="s">
        <v>1210</v>
      </c>
      <c r="E226" s="1" t="s">
        <v>1211</v>
      </c>
      <c r="F226" s="1" t="s">
        <v>524</v>
      </c>
      <c r="G226" s="1">
        <v>38034</v>
      </c>
      <c r="H226" s="1" t="s">
        <v>525</v>
      </c>
    </row>
    <row r="227" spans="1:8" x14ac:dyDescent="0.35">
      <c r="A227" s="1" t="s">
        <v>1212</v>
      </c>
      <c r="B227" s="1" t="s">
        <v>1213</v>
      </c>
      <c r="C227" s="1" t="s">
        <v>521</v>
      </c>
      <c r="D227" s="1" t="s">
        <v>1214</v>
      </c>
      <c r="E227" s="1" t="s">
        <v>1215</v>
      </c>
      <c r="F227" s="1" t="s">
        <v>524</v>
      </c>
      <c r="G227" s="1">
        <v>38337</v>
      </c>
      <c r="H227" s="1" t="s">
        <v>525</v>
      </c>
    </row>
    <row r="228" spans="1:8" x14ac:dyDescent="0.35">
      <c r="A228" s="1" t="s">
        <v>1216</v>
      </c>
      <c r="B228" s="1" t="s">
        <v>1217</v>
      </c>
      <c r="C228" s="1" t="s">
        <v>521</v>
      </c>
      <c r="D228" s="1" t="s">
        <v>1218</v>
      </c>
      <c r="E228" s="1" t="s">
        <v>1219</v>
      </c>
      <c r="F228" s="1" t="s">
        <v>524</v>
      </c>
      <c r="G228" s="1">
        <v>38050</v>
      </c>
      <c r="H228" s="1" t="s">
        <v>525</v>
      </c>
    </row>
    <row r="229" spans="1:8" x14ac:dyDescent="0.35">
      <c r="A229" s="1" t="s">
        <v>1220</v>
      </c>
      <c r="B229" s="1" t="s">
        <v>1221</v>
      </c>
      <c r="C229" s="1" t="s">
        <v>521</v>
      </c>
      <c r="D229" s="1" t="s">
        <v>1222</v>
      </c>
      <c r="E229" s="1" t="s">
        <v>1204</v>
      </c>
      <c r="F229" s="1" t="s">
        <v>524</v>
      </c>
      <c r="G229" s="1">
        <v>38001</v>
      </c>
      <c r="H229" s="1" t="s">
        <v>525</v>
      </c>
    </row>
    <row r="230" spans="1:8" x14ac:dyDescent="0.35">
      <c r="A230" s="1" t="s">
        <v>1223</v>
      </c>
      <c r="B230" s="1" t="s">
        <v>1224</v>
      </c>
      <c r="C230" s="1" t="s">
        <v>521</v>
      </c>
      <c r="D230" s="1" t="s">
        <v>1225</v>
      </c>
      <c r="E230" s="1" t="s">
        <v>1226</v>
      </c>
      <c r="F230" s="1" t="s">
        <v>524</v>
      </c>
      <c r="G230" s="1">
        <v>38006</v>
      </c>
      <c r="H230" s="1" t="s">
        <v>525</v>
      </c>
    </row>
    <row r="231" spans="1:8" x14ac:dyDescent="0.35">
      <c r="A231" s="1" t="s">
        <v>1227</v>
      </c>
      <c r="B231" s="1" t="s">
        <v>1228</v>
      </c>
      <c r="C231" s="1" t="s">
        <v>521</v>
      </c>
      <c r="D231" s="1" t="s">
        <v>1229</v>
      </c>
      <c r="E231" s="1" t="s">
        <v>1230</v>
      </c>
      <c r="F231" s="1" t="s">
        <v>524</v>
      </c>
      <c r="G231" s="1">
        <v>38572</v>
      </c>
      <c r="H231" s="1" t="s">
        <v>525</v>
      </c>
    </row>
    <row r="232" spans="1:8" x14ac:dyDescent="0.35">
      <c r="A232" s="1" t="s">
        <v>1231</v>
      </c>
      <c r="B232" s="1" t="s">
        <v>1232</v>
      </c>
      <c r="C232" s="1" t="s">
        <v>521</v>
      </c>
      <c r="D232" s="1" t="s">
        <v>1233</v>
      </c>
      <c r="E232" s="1" t="s">
        <v>1230</v>
      </c>
      <c r="F232" s="1" t="s">
        <v>524</v>
      </c>
      <c r="G232" s="1">
        <v>38572</v>
      </c>
      <c r="H232" s="1" t="s">
        <v>525</v>
      </c>
    </row>
    <row r="233" spans="1:8" x14ac:dyDescent="0.35">
      <c r="A233" s="1" t="s">
        <v>1234</v>
      </c>
      <c r="B233" s="1" t="s">
        <v>1235</v>
      </c>
      <c r="C233" s="1" t="s">
        <v>521</v>
      </c>
      <c r="D233" s="1" t="s">
        <v>1236</v>
      </c>
      <c r="E233" s="1" t="s">
        <v>1237</v>
      </c>
      <c r="F233" s="1" t="s">
        <v>524</v>
      </c>
      <c r="G233" s="1">
        <v>37723</v>
      </c>
      <c r="H233" s="1" t="s">
        <v>525</v>
      </c>
    </row>
    <row r="234" spans="1:8" x14ac:dyDescent="0.35">
      <c r="A234" s="1" t="s">
        <v>90</v>
      </c>
      <c r="B234" s="1" t="s">
        <v>1238</v>
      </c>
      <c r="C234" s="1" t="s">
        <v>521</v>
      </c>
      <c r="D234" s="1" t="s">
        <v>1239</v>
      </c>
      <c r="E234" s="1" t="s">
        <v>1230</v>
      </c>
      <c r="F234" s="1" t="s">
        <v>524</v>
      </c>
      <c r="G234" s="1">
        <v>38555</v>
      </c>
      <c r="H234" s="1" t="s">
        <v>525</v>
      </c>
    </row>
    <row r="235" spans="1:8" x14ac:dyDescent="0.35">
      <c r="A235" s="1" t="s">
        <v>1240</v>
      </c>
      <c r="B235" s="1" t="s">
        <v>1241</v>
      </c>
      <c r="C235" s="1" t="s">
        <v>521</v>
      </c>
      <c r="D235" s="1" t="s">
        <v>1242</v>
      </c>
      <c r="E235" s="1" t="s">
        <v>1230</v>
      </c>
      <c r="F235" s="1" t="s">
        <v>524</v>
      </c>
      <c r="G235" s="1">
        <v>38555</v>
      </c>
      <c r="H235" s="1" t="s">
        <v>525</v>
      </c>
    </row>
    <row r="236" spans="1:8" x14ac:dyDescent="0.35">
      <c r="A236" s="1" t="s">
        <v>1243</v>
      </c>
      <c r="B236" s="1" t="s">
        <v>1244</v>
      </c>
      <c r="C236" s="1" t="s">
        <v>521</v>
      </c>
      <c r="D236" s="1" t="s">
        <v>1245</v>
      </c>
      <c r="E236" s="1" t="s">
        <v>1230</v>
      </c>
      <c r="F236" s="1" t="s">
        <v>524</v>
      </c>
      <c r="G236" s="1">
        <v>38571</v>
      </c>
      <c r="H236" s="1" t="s">
        <v>525</v>
      </c>
    </row>
    <row r="237" spans="1:8" x14ac:dyDescent="0.35">
      <c r="A237" s="1" t="s">
        <v>1246</v>
      </c>
      <c r="B237" s="1" t="s">
        <v>1247</v>
      </c>
      <c r="C237" s="1" t="s">
        <v>521</v>
      </c>
      <c r="D237" s="1" t="s">
        <v>1248</v>
      </c>
      <c r="E237" s="1" t="s">
        <v>1249</v>
      </c>
      <c r="F237" s="1" t="s">
        <v>524</v>
      </c>
      <c r="G237" s="1">
        <v>37854</v>
      </c>
      <c r="H237" s="1" t="s">
        <v>525</v>
      </c>
    </row>
    <row r="238" spans="1:8" x14ac:dyDescent="0.35">
      <c r="A238" s="1" t="s">
        <v>1250</v>
      </c>
      <c r="B238" s="1" t="s">
        <v>1251</v>
      </c>
      <c r="C238" s="1" t="s">
        <v>521</v>
      </c>
      <c r="D238" s="1" t="s">
        <v>1252</v>
      </c>
      <c r="E238" s="1" t="s">
        <v>1253</v>
      </c>
      <c r="F238" s="1" t="s">
        <v>524</v>
      </c>
      <c r="G238" s="1">
        <v>38578</v>
      </c>
      <c r="H238" s="1" t="s">
        <v>525</v>
      </c>
    </row>
    <row r="239" spans="1:8" x14ac:dyDescent="0.35">
      <c r="A239" s="1" t="s">
        <v>1254</v>
      </c>
      <c r="B239" s="1" t="s">
        <v>1255</v>
      </c>
      <c r="C239" s="1" t="s">
        <v>521</v>
      </c>
      <c r="D239" s="1" t="s">
        <v>1256</v>
      </c>
      <c r="E239" s="1" t="s">
        <v>1230</v>
      </c>
      <c r="F239" s="1" t="s">
        <v>524</v>
      </c>
      <c r="G239" s="1">
        <v>38572</v>
      </c>
      <c r="H239" s="1" t="s">
        <v>525</v>
      </c>
    </row>
    <row r="240" spans="1:8" x14ac:dyDescent="0.35">
      <c r="A240" s="1" t="s">
        <v>1257</v>
      </c>
      <c r="B240" s="1" t="s">
        <v>1258</v>
      </c>
      <c r="C240" s="1" t="s">
        <v>521</v>
      </c>
      <c r="D240" s="1" t="s">
        <v>1259</v>
      </c>
      <c r="E240" s="1" t="s">
        <v>1230</v>
      </c>
      <c r="F240" s="1" t="s">
        <v>524</v>
      </c>
      <c r="G240" s="1">
        <v>38555</v>
      </c>
      <c r="H240" s="1" t="s">
        <v>525</v>
      </c>
    </row>
    <row r="241" spans="1:8" x14ac:dyDescent="0.35">
      <c r="A241" s="1" t="s">
        <v>92</v>
      </c>
      <c r="B241" s="1" t="s">
        <v>1260</v>
      </c>
      <c r="C241" s="1" t="s">
        <v>521</v>
      </c>
      <c r="D241" s="1" t="s">
        <v>1261</v>
      </c>
      <c r="E241" s="1" t="s">
        <v>1230</v>
      </c>
      <c r="F241" s="1" t="s">
        <v>524</v>
      </c>
      <c r="G241" s="1">
        <v>38571</v>
      </c>
      <c r="H241" s="1" t="s">
        <v>525</v>
      </c>
    </row>
    <row r="242" spans="1:8" x14ac:dyDescent="0.35">
      <c r="A242" s="1" t="s">
        <v>93</v>
      </c>
      <c r="B242" s="1" t="s">
        <v>1262</v>
      </c>
      <c r="C242" s="1" t="s">
        <v>521</v>
      </c>
      <c r="D242" s="1" t="s">
        <v>1263</v>
      </c>
      <c r="E242" s="1" t="s">
        <v>1230</v>
      </c>
      <c r="F242" s="1" t="s">
        <v>524</v>
      </c>
      <c r="G242" s="1">
        <v>38555</v>
      </c>
      <c r="H242" s="1" t="s">
        <v>525</v>
      </c>
    </row>
    <row r="243" spans="1:8" x14ac:dyDescent="0.35">
      <c r="A243" s="1" t="s">
        <v>1264</v>
      </c>
      <c r="B243" s="1" t="s">
        <v>1265</v>
      </c>
      <c r="C243" s="1" t="s">
        <v>521</v>
      </c>
      <c r="D243" s="1" t="s">
        <v>1266</v>
      </c>
      <c r="E243" s="1" t="s">
        <v>1267</v>
      </c>
      <c r="F243" s="1" t="s">
        <v>524</v>
      </c>
      <c r="G243" s="1">
        <v>37013</v>
      </c>
      <c r="H243" s="1" t="s">
        <v>525</v>
      </c>
    </row>
    <row r="244" spans="1:8" x14ac:dyDescent="0.35">
      <c r="A244" s="1" t="s">
        <v>94</v>
      </c>
      <c r="B244" s="1" t="s">
        <v>1268</v>
      </c>
      <c r="C244" s="1" t="s">
        <v>521</v>
      </c>
      <c r="D244" s="1" t="s">
        <v>1269</v>
      </c>
      <c r="E244" s="1" t="s">
        <v>1270</v>
      </c>
      <c r="F244" s="1" t="s">
        <v>524</v>
      </c>
      <c r="G244" s="1">
        <v>37209</v>
      </c>
      <c r="H244" s="1" t="s">
        <v>525</v>
      </c>
    </row>
    <row r="245" spans="1:8" x14ac:dyDescent="0.35">
      <c r="A245" s="1" t="s">
        <v>1271</v>
      </c>
      <c r="B245" s="1" t="s">
        <v>1272</v>
      </c>
      <c r="C245" s="1" t="s">
        <v>521</v>
      </c>
      <c r="D245" s="1" t="s">
        <v>1273</v>
      </c>
      <c r="E245" s="1" t="s">
        <v>1274</v>
      </c>
      <c r="F245" s="1" t="s">
        <v>524</v>
      </c>
      <c r="G245" s="1">
        <v>37189</v>
      </c>
      <c r="H245" s="1" t="s">
        <v>525</v>
      </c>
    </row>
    <row r="246" spans="1:8" x14ac:dyDescent="0.35">
      <c r="A246" s="1" t="s">
        <v>1275</v>
      </c>
      <c r="B246" s="1" t="s">
        <v>1276</v>
      </c>
      <c r="C246" s="1" t="s">
        <v>521</v>
      </c>
      <c r="D246" s="1" t="s">
        <v>1277</v>
      </c>
      <c r="E246" s="1" t="s">
        <v>1278</v>
      </c>
      <c r="F246" s="1" t="s">
        <v>524</v>
      </c>
      <c r="G246" s="1">
        <v>37115</v>
      </c>
      <c r="H246" s="1" t="s">
        <v>525</v>
      </c>
    </row>
    <row r="247" spans="1:8" x14ac:dyDescent="0.35">
      <c r="A247" s="1" t="s">
        <v>1279</v>
      </c>
      <c r="B247" s="1" t="s">
        <v>1280</v>
      </c>
      <c r="C247" s="1" t="s">
        <v>521</v>
      </c>
      <c r="D247" s="1" t="s">
        <v>1281</v>
      </c>
      <c r="E247" s="1" t="s">
        <v>1282</v>
      </c>
      <c r="F247" s="1" t="s">
        <v>524</v>
      </c>
      <c r="G247" s="1">
        <v>37138</v>
      </c>
      <c r="H247" s="1" t="s">
        <v>525</v>
      </c>
    </row>
    <row r="248" spans="1:8" x14ac:dyDescent="0.35">
      <c r="A248" s="1" t="s">
        <v>96</v>
      </c>
      <c r="B248" s="1" t="s">
        <v>1283</v>
      </c>
      <c r="C248" s="1" t="s">
        <v>521</v>
      </c>
      <c r="D248" s="1" t="s">
        <v>1284</v>
      </c>
      <c r="E248" s="1" t="s">
        <v>1267</v>
      </c>
      <c r="F248" s="1" t="s">
        <v>524</v>
      </c>
      <c r="G248" s="1">
        <v>37013</v>
      </c>
      <c r="H248" s="1" t="s">
        <v>525</v>
      </c>
    </row>
    <row r="249" spans="1:8" x14ac:dyDescent="0.35">
      <c r="A249" s="1" t="s">
        <v>1285</v>
      </c>
      <c r="B249" s="1" t="s">
        <v>1286</v>
      </c>
      <c r="C249" s="1" t="s">
        <v>521</v>
      </c>
      <c r="D249" s="1" t="s">
        <v>1287</v>
      </c>
      <c r="E249" s="1" t="s">
        <v>1267</v>
      </c>
      <c r="F249" s="1" t="s">
        <v>524</v>
      </c>
      <c r="G249" s="1">
        <v>37013</v>
      </c>
      <c r="H249" s="1" t="s">
        <v>525</v>
      </c>
    </row>
    <row r="250" spans="1:8" x14ac:dyDescent="0.35">
      <c r="A250" s="1" t="s">
        <v>1288</v>
      </c>
      <c r="B250" s="1" t="s">
        <v>1289</v>
      </c>
      <c r="C250" s="1" t="s">
        <v>521</v>
      </c>
      <c r="D250" s="1" t="s">
        <v>1290</v>
      </c>
      <c r="E250" s="1" t="s">
        <v>1267</v>
      </c>
      <c r="F250" s="1" t="s">
        <v>524</v>
      </c>
      <c r="G250" s="1">
        <v>37013</v>
      </c>
      <c r="H250" s="1" t="s">
        <v>525</v>
      </c>
    </row>
    <row r="251" spans="1:8" x14ac:dyDescent="0.35">
      <c r="A251" s="1" t="s">
        <v>1291</v>
      </c>
      <c r="B251" s="1" t="s">
        <v>1292</v>
      </c>
      <c r="C251" s="1" t="s">
        <v>521</v>
      </c>
      <c r="D251" s="1" t="s">
        <v>1293</v>
      </c>
      <c r="E251" s="1" t="s">
        <v>1270</v>
      </c>
      <c r="F251" s="1" t="s">
        <v>524</v>
      </c>
      <c r="G251" s="1">
        <v>37209</v>
      </c>
      <c r="H251" s="1" t="s">
        <v>525</v>
      </c>
    </row>
    <row r="252" spans="1:8" x14ac:dyDescent="0.35">
      <c r="A252" s="1" t="s">
        <v>1294</v>
      </c>
      <c r="B252" s="1" t="s">
        <v>1295</v>
      </c>
      <c r="C252" s="1" t="s">
        <v>521</v>
      </c>
      <c r="D252" s="1" t="s">
        <v>1296</v>
      </c>
      <c r="E252" s="1" t="s">
        <v>1270</v>
      </c>
      <c r="F252" s="1" t="s">
        <v>524</v>
      </c>
      <c r="G252" s="1">
        <v>37221</v>
      </c>
      <c r="H252" s="1" t="s">
        <v>525</v>
      </c>
    </row>
    <row r="253" spans="1:8" x14ac:dyDescent="0.35">
      <c r="A253" s="1" t="s">
        <v>1297</v>
      </c>
      <c r="B253" s="1" t="s">
        <v>1298</v>
      </c>
      <c r="C253" s="1" t="s">
        <v>521</v>
      </c>
      <c r="D253" s="1" t="s">
        <v>1299</v>
      </c>
      <c r="E253" s="1" t="s">
        <v>1270</v>
      </c>
      <c r="F253" s="1" t="s">
        <v>524</v>
      </c>
      <c r="G253" s="1">
        <v>37207</v>
      </c>
      <c r="H253" s="1" t="s">
        <v>525</v>
      </c>
    </row>
    <row r="254" spans="1:8" x14ac:dyDescent="0.35">
      <c r="A254" s="1" t="s">
        <v>97</v>
      </c>
      <c r="B254" s="1" t="s">
        <v>1300</v>
      </c>
      <c r="C254" s="1" t="s">
        <v>521</v>
      </c>
      <c r="D254" s="1" t="s">
        <v>1301</v>
      </c>
      <c r="E254" s="1" t="s">
        <v>1270</v>
      </c>
      <c r="F254" s="1" t="s">
        <v>524</v>
      </c>
      <c r="G254" s="1">
        <v>37209</v>
      </c>
      <c r="H254" s="1" t="s">
        <v>525</v>
      </c>
    </row>
    <row r="255" spans="1:8" x14ac:dyDescent="0.35">
      <c r="A255" s="1" t="s">
        <v>1302</v>
      </c>
      <c r="B255" s="1" t="s">
        <v>1303</v>
      </c>
      <c r="C255" s="1" t="s">
        <v>521</v>
      </c>
      <c r="D255" s="1" t="s">
        <v>1304</v>
      </c>
      <c r="E255" s="1" t="s">
        <v>1270</v>
      </c>
      <c r="F255" s="1" t="s">
        <v>524</v>
      </c>
      <c r="G255" s="1">
        <v>37208</v>
      </c>
      <c r="H255" s="1" t="s">
        <v>525</v>
      </c>
    </row>
    <row r="256" spans="1:8" x14ac:dyDescent="0.35">
      <c r="A256" s="1" t="s">
        <v>98</v>
      </c>
      <c r="B256" s="1" t="s">
        <v>1305</v>
      </c>
      <c r="C256" s="1" t="s">
        <v>521</v>
      </c>
      <c r="D256" s="1" t="s">
        <v>1306</v>
      </c>
      <c r="E256" s="1" t="s">
        <v>1267</v>
      </c>
      <c r="F256" s="1" t="s">
        <v>524</v>
      </c>
      <c r="G256" s="1">
        <v>37013</v>
      </c>
      <c r="H256" s="1" t="s">
        <v>525</v>
      </c>
    </row>
    <row r="257" spans="1:8" x14ac:dyDescent="0.35">
      <c r="A257" s="1" t="s">
        <v>1307</v>
      </c>
      <c r="B257" s="1" t="s">
        <v>1308</v>
      </c>
      <c r="C257" s="1" t="s">
        <v>521</v>
      </c>
      <c r="D257" s="1" t="s">
        <v>1309</v>
      </c>
      <c r="E257" s="1" t="s">
        <v>1270</v>
      </c>
      <c r="F257" s="1" t="s">
        <v>524</v>
      </c>
      <c r="G257" s="1">
        <v>37207</v>
      </c>
      <c r="H257" s="1" t="s">
        <v>525</v>
      </c>
    </row>
    <row r="258" spans="1:8" x14ac:dyDescent="0.35">
      <c r="A258" s="1" t="s">
        <v>1310</v>
      </c>
      <c r="B258" s="1" t="s">
        <v>1311</v>
      </c>
      <c r="C258" s="1" t="s">
        <v>521</v>
      </c>
      <c r="D258" s="1" t="s">
        <v>1312</v>
      </c>
      <c r="E258" s="1" t="s">
        <v>1267</v>
      </c>
      <c r="F258" s="1" t="s">
        <v>524</v>
      </c>
      <c r="G258" s="1">
        <v>37013</v>
      </c>
      <c r="H258" s="1" t="s">
        <v>525</v>
      </c>
    </row>
    <row r="259" spans="1:8" x14ac:dyDescent="0.35">
      <c r="A259" s="1" t="s">
        <v>1313</v>
      </c>
      <c r="B259" s="1" t="s">
        <v>1314</v>
      </c>
      <c r="C259" s="1" t="s">
        <v>521</v>
      </c>
      <c r="D259" s="1" t="s">
        <v>1315</v>
      </c>
      <c r="E259" s="1" t="s">
        <v>1278</v>
      </c>
      <c r="F259" s="1" t="s">
        <v>524</v>
      </c>
      <c r="G259" s="1">
        <v>37115</v>
      </c>
      <c r="H259" s="1" t="s">
        <v>525</v>
      </c>
    </row>
    <row r="260" spans="1:8" x14ac:dyDescent="0.35">
      <c r="A260" s="1" t="s">
        <v>1316</v>
      </c>
      <c r="B260" s="1" t="s">
        <v>1317</v>
      </c>
      <c r="C260" s="1" t="s">
        <v>521</v>
      </c>
      <c r="D260" s="1" t="s">
        <v>1318</v>
      </c>
      <c r="E260" s="1" t="s">
        <v>1270</v>
      </c>
      <c r="F260" s="1" t="s">
        <v>524</v>
      </c>
      <c r="G260" s="1">
        <v>37209</v>
      </c>
      <c r="H260" s="1" t="s">
        <v>525</v>
      </c>
    </row>
    <row r="261" spans="1:8" x14ac:dyDescent="0.35">
      <c r="A261" s="1" t="s">
        <v>1319</v>
      </c>
      <c r="B261" s="1" t="s">
        <v>1320</v>
      </c>
      <c r="C261" s="1" t="s">
        <v>521</v>
      </c>
      <c r="D261" s="1" t="s">
        <v>1321</v>
      </c>
      <c r="E261" s="1" t="s">
        <v>1270</v>
      </c>
      <c r="F261" s="1" t="s">
        <v>524</v>
      </c>
      <c r="G261" s="1">
        <v>37209</v>
      </c>
      <c r="H261" s="1" t="s">
        <v>525</v>
      </c>
    </row>
    <row r="262" spans="1:8" x14ac:dyDescent="0.35">
      <c r="A262" s="1" t="s">
        <v>1322</v>
      </c>
      <c r="B262" s="1" t="s">
        <v>1323</v>
      </c>
      <c r="C262" s="1" t="s">
        <v>521</v>
      </c>
      <c r="D262" s="1" t="s">
        <v>1324</v>
      </c>
      <c r="E262" s="1" t="s">
        <v>1267</v>
      </c>
      <c r="F262" s="1" t="s">
        <v>524</v>
      </c>
      <c r="G262" s="1">
        <v>37013</v>
      </c>
      <c r="H262" s="1" t="s">
        <v>525</v>
      </c>
    </row>
    <row r="263" spans="1:8" x14ac:dyDescent="0.35">
      <c r="A263" s="1" t="s">
        <v>1325</v>
      </c>
      <c r="B263" s="1" t="s">
        <v>1326</v>
      </c>
      <c r="C263" s="1" t="s">
        <v>521</v>
      </c>
      <c r="D263" s="1" t="s">
        <v>1327</v>
      </c>
      <c r="E263" s="1" t="s">
        <v>1270</v>
      </c>
      <c r="F263" s="1" t="s">
        <v>524</v>
      </c>
      <c r="G263" s="1">
        <v>37206</v>
      </c>
      <c r="H263" s="1" t="s">
        <v>525</v>
      </c>
    </row>
    <row r="264" spans="1:8" x14ac:dyDescent="0.35">
      <c r="A264" s="1" t="s">
        <v>1328</v>
      </c>
      <c r="B264" s="1" t="s">
        <v>1329</v>
      </c>
      <c r="C264" s="1" t="s">
        <v>521</v>
      </c>
      <c r="D264" s="1" t="s">
        <v>1330</v>
      </c>
      <c r="E264" s="1" t="s">
        <v>1270</v>
      </c>
      <c r="F264" s="1" t="s">
        <v>524</v>
      </c>
      <c r="G264" s="1">
        <v>37220</v>
      </c>
      <c r="H264" s="1" t="s">
        <v>525</v>
      </c>
    </row>
    <row r="265" spans="1:8" x14ac:dyDescent="0.35">
      <c r="A265" s="1" t="s">
        <v>1331</v>
      </c>
      <c r="B265" s="1" t="s">
        <v>1332</v>
      </c>
      <c r="C265" s="1" t="s">
        <v>521</v>
      </c>
      <c r="D265" s="1" t="s">
        <v>1333</v>
      </c>
      <c r="E265" s="1" t="s">
        <v>1270</v>
      </c>
      <c r="F265" s="1" t="s">
        <v>524</v>
      </c>
      <c r="G265" s="1">
        <v>37211</v>
      </c>
      <c r="H265" s="1" t="s">
        <v>525</v>
      </c>
    </row>
    <row r="266" spans="1:8" x14ac:dyDescent="0.35">
      <c r="A266" s="1" t="s">
        <v>1334</v>
      </c>
      <c r="B266" s="1" t="s">
        <v>1335</v>
      </c>
      <c r="C266" s="1" t="s">
        <v>521</v>
      </c>
      <c r="D266" s="1" t="s">
        <v>1336</v>
      </c>
      <c r="E266" s="1" t="s">
        <v>1270</v>
      </c>
      <c r="F266" s="1" t="s">
        <v>524</v>
      </c>
      <c r="G266" s="1">
        <v>37218</v>
      </c>
      <c r="H266" s="1" t="s">
        <v>525</v>
      </c>
    </row>
    <row r="267" spans="1:8" x14ac:dyDescent="0.35">
      <c r="A267" s="1" t="s">
        <v>1337</v>
      </c>
      <c r="B267" s="1" t="s">
        <v>1338</v>
      </c>
      <c r="C267" s="1" t="s">
        <v>521</v>
      </c>
      <c r="D267" s="1" t="s">
        <v>1339</v>
      </c>
      <c r="E267" s="1" t="s">
        <v>1270</v>
      </c>
      <c r="F267" s="1" t="s">
        <v>524</v>
      </c>
      <c r="G267" s="1">
        <v>37216</v>
      </c>
      <c r="H267" s="1" t="s">
        <v>525</v>
      </c>
    </row>
    <row r="268" spans="1:8" x14ac:dyDescent="0.35">
      <c r="A268" s="1" t="s">
        <v>1340</v>
      </c>
      <c r="B268" s="1" t="s">
        <v>1341</v>
      </c>
      <c r="C268" s="1" t="s">
        <v>521</v>
      </c>
      <c r="D268" s="1" t="s">
        <v>1342</v>
      </c>
      <c r="E268" s="1" t="s">
        <v>1343</v>
      </c>
      <c r="F268" s="1" t="s">
        <v>524</v>
      </c>
      <c r="G268" s="1">
        <v>37076</v>
      </c>
      <c r="H268" s="1" t="s">
        <v>525</v>
      </c>
    </row>
    <row r="269" spans="1:8" x14ac:dyDescent="0.35">
      <c r="A269" s="1" t="s">
        <v>1344</v>
      </c>
      <c r="B269" s="1" t="s">
        <v>1345</v>
      </c>
      <c r="C269" s="1" t="s">
        <v>521</v>
      </c>
      <c r="D269" s="1" t="s">
        <v>1346</v>
      </c>
      <c r="E269" s="1" t="s">
        <v>1270</v>
      </c>
      <c r="F269" s="1" t="s">
        <v>524</v>
      </c>
      <c r="G269" s="1">
        <v>37214</v>
      </c>
      <c r="H269" s="1" t="s">
        <v>525</v>
      </c>
    </row>
    <row r="270" spans="1:8" x14ac:dyDescent="0.35">
      <c r="A270" s="1" t="s">
        <v>1347</v>
      </c>
      <c r="B270" s="1" t="s">
        <v>1348</v>
      </c>
      <c r="C270" s="1" t="s">
        <v>521</v>
      </c>
      <c r="D270" s="1" t="s">
        <v>1349</v>
      </c>
      <c r="E270" s="1" t="s">
        <v>1282</v>
      </c>
      <c r="F270" s="1" t="s">
        <v>524</v>
      </c>
      <c r="G270" s="1">
        <v>37138</v>
      </c>
      <c r="H270" s="1" t="s">
        <v>525</v>
      </c>
    </row>
    <row r="271" spans="1:8" x14ac:dyDescent="0.35">
      <c r="A271" s="1" t="s">
        <v>1350</v>
      </c>
      <c r="B271" s="1" t="s">
        <v>1351</v>
      </c>
      <c r="C271" s="1" t="s">
        <v>521</v>
      </c>
      <c r="D271" s="1" t="s">
        <v>1352</v>
      </c>
      <c r="E271" s="1" t="s">
        <v>1343</v>
      </c>
      <c r="F271" s="1" t="s">
        <v>524</v>
      </c>
      <c r="G271" s="1">
        <v>37076</v>
      </c>
      <c r="H271" s="1" t="s">
        <v>525</v>
      </c>
    </row>
    <row r="272" spans="1:8" x14ac:dyDescent="0.35">
      <c r="A272" s="1" t="s">
        <v>1353</v>
      </c>
      <c r="B272" s="1" t="s">
        <v>1354</v>
      </c>
      <c r="C272" s="1" t="s">
        <v>521</v>
      </c>
      <c r="D272" s="1" t="s">
        <v>1355</v>
      </c>
      <c r="E272" s="1" t="s">
        <v>1282</v>
      </c>
      <c r="F272" s="1" t="s">
        <v>524</v>
      </c>
      <c r="G272" s="1">
        <v>37138</v>
      </c>
      <c r="H272" s="1" t="s">
        <v>525</v>
      </c>
    </row>
    <row r="273" spans="1:8" x14ac:dyDescent="0.35">
      <c r="A273" s="1" t="s">
        <v>1356</v>
      </c>
      <c r="B273" s="1" t="s">
        <v>613</v>
      </c>
      <c r="C273" s="1" t="s">
        <v>521</v>
      </c>
      <c r="D273" s="1" t="s">
        <v>1357</v>
      </c>
      <c r="E273" s="1" t="s">
        <v>1270</v>
      </c>
      <c r="F273" s="1" t="s">
        <v>524</v>
      </c>
      <c r="G273" s="1">
        <v>37212</v>
      </c>
      <c r="H273" s="1" t="s">
        <v>525</v>
      </c>
    </row>
    <row r="274" spans="1:8" x14ac:dyDescent="0.35">
      <c r="A274" s="1" t="s">
        <v>99</v>
      </c>
      <c r="B274" s="1" t="s">
        <v>1358</v>
      </c>
      <c r="C274" s="1" t="s">
        <v>521</v>
      </c>
      <c r="D274" s="1" t="s">
        <v>1359</v>
      </c>
      <c r="E274" s="1" t="s">
        <v>1270</v>
      </c>
      <c r="F274" s="1" t="s">
        <v>524</v>
      </c>
      <c r="G274" s="1">
        <v>37206</v>
      </c>
      <c r="H274" s="1" t="s">
        <v>525</v>
      </c>
    </row>
    <row r="275" spans="1:8" x14ac:dyDescent="0.35">
      <c r="A275" s="1" t="s">
        <v>1360</v>
      </c>
      <c r="B275" s="1" t="s">
        <v>1361</v>
      </c>
      <c r="C275" s="1" t="s">
        <v>521</v>
      </c>
      <c r="D275" s="1" t="s">
        <v>1362</v>
      </c>
      <c r="E275" s="1" t="s">
        <v>1267</v>
      </c>
      <c r="F275" s="1" t="s">
        <v>524</v>
      </c>
      <c r="G275" s="1">
        <v>37013</v>
      </c>
      <c r="H275" s="1" t="s">
        <v>525</v>
      </c>
    </row>
    <row r="276" spans="1:8" x14ac:dyDescent="0.35">
      <c r="A276" s="1" t="s">
        <v>1363</v>
      </c>
      <c r="B276" s="1" t="s">
        <v>1364</v>
      </c>
      <c r="C276" s="1" t="s">
        <v>521</v>
      </c>
      <c r="D276" s="1" t="s">
        <v>1365</v>
      </c>
      <c r="E276" s="1" t="s">
        <v>1270</v>
      </c>
      <c r="F276" s="1" t="s">
        <v>524</v>
      </c>
      <c r="G276" s="1">
        <v>37203</v>
      </c>
      <c r="H276" s="1" t="s">
        <v>525</v>
      </c>
    </row>
    <row r="277" spans="1:8" x14ac:dyDescent="0.35">
      <c r="A277" s="1" t="s">
        <v>1366</v>
      </c>
      <c r="B277" s="1" t="s">
        <v>1367</v>
      </c>
      <c r="C277" s="1" t="s">
        <v>521</v>
      </c>
      <c r="D277" s="1" t="s">
        <v>1368</v>
      </c>
      <c r="E277" s="1" t="s">
        <v>1278</v>
      </c>
      <c r="F277" s="1" t="s">
        <v>524</v>
      </c>
      <c r="G277" s="1">
        <v>37115</v>
      </c>
      <c r="H277" s="1" t="s">
        <v>525</v>
      </c>
    </row>
    <row r="278" spans="1:8" x14ac:dyDescent="0.35">
      <c r="A278" s="1" t="s">
        <v>1369</v>
      </c>
      <c r="B278" s="1" t="s">
        <v>1370</v>
      </c>
      <c r="C278" s="1" t="s">
        <v>521</v>
      </c>
      <c r="D278" s="1" t="s">
        <v>1371</v>
      </c>
      <c r="E278" s="1" t="s">
        <v>1270</v>
      </c>
      <c r="F278" s="1" t="s">
        <v>524</v>
      </c>
      <c r="G278" s="1">
        <v>37211</v>
      </c>
      <c r="H278" s="1" t="s">
        <v>525</v>
      </c>
    </row>
    <row r="279" spans="1:8" x14ac:dyDescent="0.35">
      <c r="A279" s="1" t="s">
        <v>100</v>
      </c>
      <c r="B279" s="1" t="s">
        <v>1372</v>
      </c>
      <c r="C279" s="1" t="s">
        <v>521</v>
      </c>
      <c r="D279" s="1" t="s">
        <v>1373</v>
      </c>
      <c r="E279" s="1" t="s">
        <v>1270</v>
      </c>
      <c r="F279" s="1" t="s">
        <v>524</v>
      </c>
      <c r="G279" s="1">
        <v>37211</v>
      </c>
      <c r="H279" s="1" t="s">
        <v>525</v>
      </c>
    </row>
    <row r="280" spans="1:8" x14ac:dyDescent="0.35">
      <c r="A280" s="1" t="s">
        <v>1374</v>
      </c>
      <c r="B280" s="1" t="s">
        <v>1375</v>
      </c>
      <c r="C280" s="1" t="s">
        <v>521</v>
      </c>
      <c r="D280" s="1" t="s">
        <v>1376</v>
      </c>
      <c r="E280" s="1" t="s">
        <v>1270</v>
      </c>
      <c r="F280" s="1" t="s">
        <v>524</v>
      </c>
      <c r="G280" s="1">
        <v>37204</v>
      </c>
      <c r="H280" s="1" t="s">
        <v>525</v>
      </c>
    </row>
    <row r="281" spans="1:8" x14ac:dyDescent="0.35">
      <c r="A281" s="1" t="s">
        <v>1377</v>
      </c>
      <c r="B281" s="1" t="s">
        <v>1378</v>
      </c>
      <c r="C281" s="1" t="s">
        <v>521</v>
      </c>
      <c r="D281" s="1" t="s">
        <v>1379</v>
      </c>
      <c r="E281" s="1" t="s">
        <v>1270</v>
      </c>
      <c r="F281" s="1" t="s">
        <v>524</v>
      </c>
      <c r="G281" s="1">
        <v>37217</v>
      </c>
      <c r="H281" s="1" t="s">
        <v>525</v>
      </c>
    </row>
    <row r="282" spans="1:8" x14ac:dyDescent="0.35">
      <c r="A282" s="1" t="s">
        <v>1380</v>
      </c>
      <c r="B282" s="1" t="s">
        <v>1381</v>
      </c>
      <c r="C282" s="1" t="s">
        <v>521</v>
      </c>
      <c r="D282" s="1" t="s">
        <v>1382</v>
      </c>
      <c r="E282" s="1" t="s">
        <v>1270</v>
      </c>
      <c r="F282" s="1" t="s">
        <v>524</v>
      </c>
      <c r="G282" s="1">
        <v>37207</v>
      </c>
      <c r="H282" s="1" t="s">
        <v>525</v>
      </c>
    </row>
    <row r="283" spans="1:8" x14ac:dyDescent="0.35">
      <c r="A283" s="1" t="s">
        <v>1383</v>
      </c>
      <c r="B283" s="1" t="s">
        <v>1384</v>
      </c>
      <c r="C283" s="1" t="s">
        <v>521</v>
      </c>
      <c r="D283" s="1" t="s">
        <v>1385</v>
      </c>
      <c r="E283" s="1" t="s">
        <v>1270</v>
      </c>
      <c r="F283" s="1" t="s">
        <v>524</v>
      </c>
      <c r="G283" s="1">
        <v>37217</v>
      </c>
      <c r="H283" s="1" t="s">
        <v>525</v>
      </c>
    </row>
    <row r="284" spans="1:8" x14ac:dyDescent="0.35">
      <c r="A284" s="1" t="s">
        <v>1386</v>
      </c>
      <c r="B284" s="1" t="s">
        <v>1387</v>
      </c>
      <c r="C284" s="1" t="s">
        <v>521</v>
      </c>
      <c r="D284" s="1" t="s">
        <v>1388</v>
      </c>
      <c r="E284" s="1" t="s">
        <v>1389</v>
      </c>
      <c r="F284" s="1" t="s">
        <v>524</v>
      </c>
      <c r="G284" s="1">
        <v>37072</v>
      </c>
      <c r="H284" s="1" t="s">
        <v>525</v>
      </c>
    </row>
    <row r="285" spans="1:8" x14ac:dyDescent="0.35">
      <c r="A285" s="1" t="s">
        <v>1390</v>
      </c>
      <c r="B285" s="1" t="s">
        <v>1391</v>
      </c>
      <c r="C285" s="1" t="s">
        <v>521</v>
      </c>
      <c r="D285" s="1" t="s">
        <v>1392</v>
      </c>
      <c r="E285" s="1" t="s">
        <v>1389</v>
      </c>
      <c r="F285" s="1" t="s">
        <v>524</v>
      </c>
      <c r="G285" s="1">
        <v>37072</v>
      </c>
      <c r="H285" s="1" t="s">
        <v>525</v>
      </c>
    </row>
    <row r="286" spans="1:8" x14ac:dyDescent="0.35">
      <c r="A286" s="1" t="s">
        <v>1393</v>
      </c>
      <c r="B286" s="1" t="s">
        <v>1394</v>
      </c>
      <c r="C286" s="1" t="s">
        <v>521</v>
      </c>
      <c r="D286" s="1" t="s">
        <v>1395</v>
      </c>
      <c r="E286" s="1" t="s">
        <v>1270</v>
      </c>
      <c r="F286" s="1" t="s">
        <v>524</v>
      </c>
      <c r="G286" s="1">
        <v>37209</v>
      </c>
      <c r="H286" s="1" t="s">
        <v>525</v>
      </c>
    </row>
    <row r="287" spans="1:8" x14ac:dyDescent="0.35">
      <c r="A287" s="1" t="s">
        <v>1396</v>
      </c>
      <c r="B287" s="1" t="s">
        <v>1397</v>
      </c>
      <c r="C287" s="1" t="s">
        <v>521</v>
      </c>
      <c r="D287" s="1" t="s">
        <v>1398</v>
      </c>
      <c r="E287" s="1" t="s">
        <v>1270</v>
      </c>
      <c r="F287" s="1" t="s">
        <v>524</v>
      </c>
      <c r="G287" s="1">
        <v>37216</v>
      </c>
      <c r="H287" s="1" t="s">
        <v>525</v>
      </c>
    </row>
    <row r="288" spans="1:8" x14ac:dyDescent="0.35">
      <c r="A288" s="1" t="s">
        <v>1399</v>
      </c>
      <c r="B288" s="1" t="s">
        <v>1400</v>
      </c>
      <c r="C288" s="1" t="s">
        <v>521</v>
      </c>
      <c r="D288" s="1" t="s">
        <v>1401</v>
      </c>
      <c r="E288" s="1" t="s">
        <v>1402</v>
      </c>
      <c r="F288" s="1" t="s">
        <v>524</v>
      </c>
      <c r="G288" s="1">
        <v>37027</v>
      </c>
      <c r="H288" s="1" t="s">
        <v>525</v>
      </c>
    </row>
    <row r="289" spans="1:8" x14ac:dyDescent="0.35">
      <c r="A289" s="1" t="s">
        <v>1403</v>
      </c>
      <c r="B289" s="1" t="s">
        <v>1404</v>
      </c>
      <c r="C289" s="1" t="s">
        <v>521</v>
      </c>
      <c r="D289" s="1" t="s">
        <v>1405</v>
      </c>
      <c r="E289" s="1" t="s">
        <v>1270</v>
      </c>
      <c r="F289" s="1" t="s">
        <v>524</v>
      </c>
      <c r="G289" s="1">
        <v>37205</v>
      </c>
      <c r="H289" s="1" t="s">
        <v>525</v>
      </c>
    </row>
    <row r="290" spans="1:8" x14ac:dyDescent="0.35">
      <c r="A290" s="1" t="s">
        <v>1406</v>
      </c>
      <c r="B290" s="1" t="s">
        <v>1407</v>
      </c>
      <c r="C290" s="1" t="s">
        <v>521</v>
      </c>
      <c r="D290" s="1" t="s">
        <v>1408</v>
      </c>
      <c r="E290" s="1" t="s">
        <v>1270</v>
      </c>
      <c r="F290" s="1" t="s">
        <v>524</v>
      </c>
      <c r="G290" s="1">
        <v>37206</v>
      </c>
      <c r="H290" s="1" t="s">
        <v>525</v>
      </c>
    </row>
    <row r="291" spans="1:8" x14ac:dyDescent="0.35">
      <c r="A291" s="1" t="s">
        <v>1409</v>
      </c>
      <c r="B291" s="1" t="s">
        <v>1410</v>
      </c>
      <c r="C291" s="1" t="s">
        <v>521</v>
      </c>
      <c r="D291" s="1" t="s">
        <v>1411</v>
      </c>
      <c r="E291" s="1" t="s">
        <v>1270</v>
      </c>
      <c r="F291" s="1" t="s">
        <v>524</v>
      </c>
      <c r="G291" s="1">
        <v>37221</v>
      </c>
      <c r="H291" s="1" t="s">
        <v>525</v>
      </c>
    </row>
    <row r="292" spans="1:8" x14ac:dyDescent="0.35">
      <c r="A292" s="1" t="s">
        <v>101</v>
      </c>
      <c r="B292" s="1" t="s">
        <v>1412</v>
      </c>
      <c r="C292" s="1" t="s">
        <v>521</v>
      </c>
      <c r="D292" s="1" t="s">
        <v>1413</v>
      </c>
      <c r="E292" s="1" t="s">
        <v>1270</v>
      </c>
      <c r="F292" s="1" t="s">
        <v>524</v>
      </c>
      <c r="G292" s="1">
        <v>37212</v>
      </c>
      <c r="H292" s="1" t="s">
        <v>525</v>
      </c>
    </row>
    <row r="293" spans="1:8" x14ac:dyDescent="0.35">
      <c r="A293" s="1" t="s">
        <v>1414</v>
      </c>
      <c r="B293" s="1" t="s">
        <v>1415</v>
      </c>
      <c r="C293" s="1" t="s">
        <v>521</v>
      </c>
      <c r="D293" s="1" t="s">
        <v>1416</v>
      </c>
      <c r="E293" s="1" t="s">
        <v>1270</v>
      </c>
      <c r="F293" s="1" t="s">
        <v>524</v>
      </c>
      <c r="G293" s="1">
        <v>37207</v>
      </c>
      <c r="H293" s="1" t="s">
        <v>525</v>
      </c>
    </row>
    <row r="294" spans="1:8" x14ac:dyDescent="0.35">
      <c r="A294" s="1" t="s">
        <v>1417</v>
      </c>
      <c r="B294" s="1" t="s">
        <v>1418</v>
      </c>
      <c r="C294" s="1" t="s">
        <v>521</v>
      </c>
      <c r="D294" s="1" t="s">
        <v>1419</v>
      </c>
      <c r="E294" s="1" t="s">
        <v>1270</v>
      </c>
      <c r="F294" s="1" t="s">
        <v>524</v>
      </c>
      <c r="G294" s="1">
        <v>37211</v>
      </c>
      <c r="H294" s="1" t="s">
        <v>525</v>
      </c>
    </row>
    <row r="295" spans="1:8" x14ac:dyDescent="0.35">
      <c r="A295" s="1" t="s">
        <v>1420</v>
      </c>
      <c r="B295" s="1" t="s">
        <v>1421</v>
      </c>
      <c r="C295" s="1" t="s">
        <v>521</v>
      </c>
      <c r="D295" s="1" t="s">
        <v>1422</v>
      </c>
      <c r="E295" s="1" t="s">
        <v>1270</v>
      </c>
      <c r="F295" s="1" t="s">
        <v>524</v>
      </c>
      <c r="G295" s="1">
        <v>37203</v>
      </c>
      <c r="H295" s="1" t="s">
        <v>525</v>
      </c>
    </row>
    <row r="296" spans="1:8" x14ac:dyDescent="0.35">
      <c r="A296" s="1" t="s">
        <v>1423</v>
      </c>
      <c r="B296" s="1" t="s">
        <v>1424</v>
      </c>
      <c r="C296" s="1" t="s">
        <v>521</v>
      </c>
      <c r="D296" s="1" t="s">
        <v>1425</v>
      </c>
      <c r="E296" s="1" t="s">
        <v>1267</v>
      </c>
      <c r="F296" s="1" t="s">
        <v>524</v>
      </c>
      <c r="G296" s="1">
        <v>37013</v>
      </c>
      <c r="H296" s="1" t="s">
        <v>525</v>
      </c>
    </row>
    <row r="297" spans="1:8" x14ac:dyDescent="0.35">
      <c r="A297" s="1" t="s">
        <v>1426</v>
      </c>
      <c r="B297" s="1" t="s">
        <v>1427</v>
      </c>
      <c r="C297" s="1" t="s">
        <v>521</v>
      </c>
      <c r="D297" s="1" t="s">
        <v>1428</v>
      </c>
      <c r="E297" s="1" t="s">
        <v>1343</v>
      </c>
      <c r="F297" s="1" t="s">
        <v>524</v>
      </c>
      <c r="G297" s="1">
        <v>37076</v>
      </c>
      <c r="H297" s="1" t="s">
        <v>525</v>
      </c>
    </row>
    <row r="298" spans="1:8" x14ac:dyDescent="0.35">
      <c r="A298" s="1" t="s">
        <v>1429</v>
      </c>
      <c r="B298" s="1" t="s">
        <v>1430</v>
      </c>
      <c r="C298" s="1" t="s">
        <v>521</v>
      </c>
      <c r="D298" s="1" t="s">
        <v>1431</v>
      </c>
      <c r="E298" s="1" t="s">
        <v>1270</v>
      </c>
      <c r="F298" s="1" t="s">
        <v>524</v>
      </c>
      <c r="G298" s="1">
        <v>37214</v>
      </c>
      <c r="H298" s="1" t="s">
        <v>525</v>
      </c>
    </row>
    <row r="299" spans="1:8" x14ac:dyDescent="0.35">
      <c r="A299" s="1" t="s">
        <v>1432</v>
      </c>
      <c r="B299" s="1" t="s">
        <v>1433</v>
      </c>
      <c r="C299" s="1" t="s">
        <v>521</v>
      </c>
      <c r="D299" s="1" t="s">
        <v>1434</v>
      </c>
      <c r="E299" s="1" t="s">
        <v>1270</v>
      </c>
      <c r="F299" s="1" t="s">
        <v>524</v>
      </c>
      <c r="G299" s="1">
        <v>37206</v>
      </c>
      <c r="H299" s="1" t="s">
        <v>525</v>
      </c>
    </row>
    <row r="300" spans="1:8" x14ac:dyDescent="0.35">
      <c r="A300" s="1" t="s">
        <v>102</v>
      </c>
      <c r="B300" s="1" t="s">
        <v>1435</v>
      </c>
      <c r="C300" s="1" t="s">
        <v>521</v>
      </c>
      <c r="D300" s="1" t="s">
        <v>1436</v>
      </c>
      <c r="E300" s="1" t="s">
        <v>1270</v>
      </c>
      <c r="F300" s="1" t="s">
        <v>524</v>
      </c>
      <c r="G300" s="1">
        <v>37215</v>
      </c>
      <c r="H300" s="1" t="s">
        <v>525</v>
      </c>
    </row>
    <row r="301" spans="1:8" x14ac:dyDescent="0.35">
      <c r="A301" s="1" t="s">
        <v>103</v>
      </c>
      <c r="B301" s="1" t="s">
        <v>1437</v>
      </c>
      <c r="C301" s="1" t="s">
        <v>521</v>
      </c>
      <c r="D301" s="1" t="s">
        <v>1438</v>
      </c>
      <c r="E301" s="1" t="s">
        <v>1270</v>
      </c>
      <c r="F301" s="1" t="s">
        <v>524</v>
      </c>
      <c r="G301" s="1">
        <v>37205</v>
      </c>
      <c r="H301" s="1" t="s">
        <v>525</v>
      </c>
    </row>
    <row r="302" spans="1:8" x14ac:dyDescent="0.35">
      <c r="A302" s="1" t="s">
        <v>1439</v>
      </c>
      <c r="B302" s="1" t="s">
        <v>1440</v>
      </c>
      <c r="C302" s="1" t="s">
        <v>521</v>
      </c>
      <c r="D302" s="1" t="s">
        <v>1441</v>
      </c>
      <c r="E302" s="1" t="s">
        <v>1270</v>
      </c>
      <c r="F302" s="1" t="s">
        <v>524</v>
      </c>
      <c r="G302" s="1">
        <v>37208</v>
      </c>
      <c r="H302" s="1" t="s">
        <v>525</v>
      </c>
    </row>
    <row r="303" spans="1:8" x14ac:dyDescent="0.35">
      <c r="A303" s="1" t="s">
        <v>104</v>
      </c>
      <c r="B303" s="1" t="s">
        <v>1442</v>
      </c>
      <c r="C303" s="1" t="s">
        <v>521</v>
      </c>
      <c r="D303" s="1" t="s">
        <v>1443</v>
      </c>
      <c r="E303" s="1" t="s">
        <v>1270</v>
      </c>
      <c r="F303" s="1" t="s">
        <v>524</v>
      </c>
      <c r="G303" s="1">
        <v>37203</v>
      </c>
      <c r="H303" s="1" t="s">
        <v>525</v>
      </c>
    </row>
    <row r="304" spans="1:8" x14ac:dyDescent="0.35">
      <c r="A304" s="1" t="s">
        <v>105</v>
      </c>
      <c r="B304" s="1" t="s">
        <v>1444</v>
      </c>
      <c r="C304" s="1" t="s">
        <v>521</v>
      </c>
      <c r="D304" s="1" t="s">
        <v>1445</v>
      </c>
      <c r="E304" s="1" t="s">
        <v>1270</v>
      </c>
      <c r="F304" s="1" t="s">
        <v>524</v>
      </c>
      <c r="G304" s="1">
        <v>37207</v>
      </c>
      <c r="H304" s="1" t="s">
        <v>525</v>
      </c>
    </row>
    <row r="305" spans="1:8" x14ac:dyDescent="0.35">
      <c r="A305" s="1" t="s">
        <v>1446</v>
      </c>
      <c r="B305" s="1" t="s">
        <v>1447</v>
      </c>
      <c r="C305" s="1" t="s">
        <v>521</v>
      </c>
      <c r="D305" s="1" t="s">
        <v>1448</v>
      </c>
      <c r="E305" s="1" t="s">
        <v>1270</v>
      </c>
      <c r="F305" s="1" t="s">
        <v>524</v>
      </c>
      <c r="G305" s="1">
        <v>37216</v>
      </c>
      <c r="H305" s="1" t="s">
        <v>525</v>
      </c>
    </row>
    <row r="306" spans="1:8" x14ac:dyDescent="0.35">
      <c r="A306" s="1" t="s">
        <v>1449</v>
      </c>
      <c r="B306" s="1" t="s">
        <v>1450</v>
      </c>
      <c r="C306" s="1" t="s">
        <v>521</v>
      </c>
      <c r="D306" s="1" t="s">
        <v>1451</v>
      </c>
      <c r="E306" s="1" t="s">
        <v>1270</v>
      </c>
      <c r="F306" s="1" t="s">
        <v>524</v>
      </c>
      <c r="G306" s="1">
        <v>37216</v>
      </c>
      <c r="H306" s="1" t="s">
        <v>525</v>
      </c>
    </row>
    <row r="307" spans="1:8" x14ac:dyDescent="0.35">
      <c r="A307" s="1" t="s">
        <v>1452</v>
      </c>
      <c r="B307" s="1" t="s">
        <v>1453</v>
      </c>
      <c r="C307" s="1" t="s">
        <v>521</v>
      </c>
      <c r="D307" s="1" t="s">
        <v>1454</v>
      </c>
      <c r="E307" s="1" t="s">
        <v>1267</v>
      </c>
      <c r="F307" s="1" t="s">
        <v>524</v>
      </c>
      <c r="G307" s="1">
        <v>37013</v>
      </c>
      <c r="H307" s="1" t="s">
        <v>525</v>
      </c>
    </row>
    <row r="308" spans="1:8" x14ac:dyDescent="0.35">
      <c r="A308" s="1" t="s">
        <v>1455</v>
      </c>
      <c r="B308" s="1" t="s">
        <v>1456</v>
      </c>
      <c r="C308" s="1" t="s">
        <v>521</v>
      </c>
      <c r="D308" s="1" t="s">
        <v>1457</v>
      </c>
      <c r="E308" s="1" t="s">
        <v>1270</v>
      </c>
      <c r="F308" s="1" t="s">
        <v>524</v>
      </c>
      <c r="G308" s="1">
        <v>37207</v>
      </c>
      <c r="H308" s="1" t="s">
        <v>525</v>
      </c>
    </row>
    <row r="309" spans="1:8" x14ac:dyDescent="0.35">
      <c r="A309" s="1" t="s">
        <v>1458</v>
      </c>
      <c r="B309" s="1" t="s">
        <v>1459</v>
      </c>
      <c r="C309" s="1" t="s">
        <v>521</v>
      </c>
      <c r="D309" s="1" t="s">
        <v>1460</v>
      </c>
      <c r="E309" s="1" t="s">
        <v>1461</v>
      </c>
      <c r="F309" s="1" t="s">
        <v>524</v>
      </c>
      <c r="G309" s="1">
        <v>37080</v>
      </c>
      <c r="H309" s="1" t="s">
        <v>525</v>
      </c>
    </row>
    <row r="310" spans="1:8" x14ac:dyDescent="0.35">
      <c r="A310" s="1" t="s">
        <v>1462</v>
      </c>
      <c r="B310" s="1" t="s">
        <v>1463</v>
      </c>
      <c r="C310" s="1" t="s">
        <v>521</v>
      </c>
      <c r="D310" s="1" t="s">
        <v>1464</v>
      </c>
      <c r="E310" s="1" t="s">
        <v>1461</v>
      </c>
      <c r="F310" s="1" t="s">
        <v>524</v>
      </c>
      <c r="G310" s="1">
        <v>37080</v>
      </c>
      <c r="H310" s="1" t="s">
        <v>525</v>
      </c>
    </row>
    <row r="311" spans="1:8" x14ac:dyDescent="0.35">
      <c r="A311" s="1" t="s">
        <v>1465</v>
      </c>
      <c r="B311" s="1" t="s">
        <v>1466</v>
      </c>
      <c r="C311" s="1" t="s">
        <v>521</v>
      </c>
      <c r="D311" s="1" t="s">
        <v>1467</v>
      </c>
      <c r="E311" s="1" t="s">
        <v>1270</v>
      </c>
      <c r="F311" s="1" t="s">
        <v>524</v>
      </c>
      <c r="G311" s="1">
        <v>37208</v>
      </c>
      <c r="H311" s="1" t="s">
        <v>525</v>
      </c>
    </row>
    <row r="312" spans="1:8" x14ac:dyDescent="0.35">
      <c r="A312" s="1" t="s">
        <v>1468</v>
      </c>
      <c r="B312" s="1" t="s">
        <v>1469</v>
      </c>
      <c r="C312" s="1" t="s">
        <v>521</v>
      </c>
      <c r="D312" s="1" t="s">
        <v>1470</v>
      </c>
      <c r="E312" s="1" t="s">
        <v>1270</v>
      </c>
      <c r="F312" s="1" t="s">
        <v>524</v>
      </c>
      <c r="G312" s="1">
        <v>37208</v>
      </c>
      <c r="H312" s="1" t="s">
        <v>525</v>
      </c>
    </row>
    <row r="313" spans="1:8" x14ac:dyDescent="0.35">
      <c r="A313" s="1" t="s">
        <v>1471</v>
      </c>
      <c r="B313" s="1" t="s">
        <v>1472</v>
      </c>
      <c r="C313" s="1" t="s">
        <v>521</v>
      </c>
      <c r="D313" s="1" t="s">
        <v>1473</v>
      </c>
      <c r="E313" s="1" t="s">
        <v>1270</v>
      </c>
      <c r="F313" s="1" t="s">
        <v>524</v>
      </c>
      <c r="G313" s="1">
        <v>37210</v>
      </c>
      <c r="H313" s="1" t="s">
        <v>525</v>
      </c>
    </row>
    <row r="314" spans="1:8" x14ac:dyDescent="0.35">
      <c r="A314" s="1" t="s">
        <v>1474</v>
      </c>
      <c r="B314" s="1" t="s">
        <v>1475</v>
      </c>
      <c r="C314" s="1" t="s">
        <v>521</v>
      </c>
      <c r="D314" s="1" t="s">
        <v>1476</v>
      </c>
      <c r="E314" s="1" t="s">
        <v>1267</v>
      </c>
      <c r="F314" s="1" t="s">
        <v>524</v>
      </c>
      <c r="G314" s="1">
        <v>37013</v>
      </c>
      <c r="H314" s="1" t="s">
        <v>525</v>
      </c>
    </row>
    <row r="315" spans="1:8" x14ac:dyDescent="0.35">
      <c r="A315" s="1" t="s">
        <v>106</v>
      </c>
      <c r="B315" s="1" t="s">
        <v>1477</v>
      </c>
      <c r="C315" s="1" t="s">
        <v>521</v>
      </c>
      <c r="D315" s="1" t="s">
        <v>1478</v>
      </c>
      <c r="E315" s="1" t="s">
        <v>1270</v>
      </c>
      <c r="F315" s="1" t="s">
        <v>524</v>
      </c>
      <c r="G315" s="1">
        <v>37220</v>
      </c>
      <c r="H315" s="1" t="s">
        <v>525</v>
      </c>
    </row>
    <row r="316" spans="1:8" x14ac:dyDescent="0.35">
      <c r="A316" s="1" t="s">
        <v>1479</v>
      </c>
      <c r="B316" s="1" t="s">
        <v>1480</v>
      </c>
      <c r="C316" s="1" t="s">
        <v>521</v>
      </c>
      <c r="D316" s="1" t="s">
        <v>1481</v>
      </c>
      <c r="E316" s="1" t="s">
        <v>1270</v>
      </c>
      <c r="F316" s="1" t="s">
        <v>524</v>
      </c>
      <c r="G316" s="1">
        <v>37215</v>
      </c>
      <c r="H316" s="1" t="s">
        <v>525</v>
      </c>
    </row>
    <row r="317" spans="1:8" x14ac:dyDescent="0.35">
      <c r="A317" s="1" t="s">
        <v>1482</v>
      </c>
      <c r="B317" s="1" t="s">
        <v>1483</v>
      </c>
      <c r="C317" s="1" t="s">
        <v>521</v>
      </c>
      <c r="D317" s="1" t="s">
        <v>1484</v>
      </c>
      <c r="E317" s="1" t="s">
        <v>1270</v>
      </c>
      <c r="F317" s="1" t="s">
        <v>524</v>
      </c>
      <c r="G317" s="1">
        <v>37218</v>
      </c>
      <c r="H317" s="1" t="s">
        <v>525</v>
      </c>
    </row>
    <row r="318" spans="1:8" x14ac:dyDescent="0.35">
      <c r="A318" s="1" t="s">
        <v>1485</v>
      </c>
      <c r="B318" s="1" t="s">
        <v>1486</v>
      </c>
      <c r="C318" s="1" t="s">
        <v>521</v>
      </c>
      <c r="D318" s="1" t="s">
        <v>1487</v>
      </c>
      <c r="E318" s="1" t="s">
        <v>1270</v>
      </c>
      <c r="F318" s="1" t="s">
        <v>524</v>
      </c>
      <c r="G318" s="1">
        <v>37217</v>
      </c>
      <c r="H318" s="1" t="s">
        <v>525</v>
      </c>
    </row>
    <row r="319" spans="1:8" x14ac:dyDescent="0.35">
      <c r="A319" s="1" t="s">
        <v>1488</v>
      </c>
      <c r="B319" s="1" t="s">
        <v>1489</v>
      </c>
      <c r="C319" s="1" t="s">
        <v>521</v>
      </c>
      <c r="D319" s="1" t="s">
        <v>1490</v>
      </c>
      <c r="E319" s="1" t="s">
        <v>1270</v>
      </c>
      <c r="F319" s="1" t="s">
        <v>524</v>
      </c>
      <c r="G319" s="1">
        <v>37206</v>
      </c>
      <c r="H319" s="1" t="s">
        <v>525</v>
      </c>
    </row>
    <row r="320" spans="1:8" x14ac:dyDescent="0.35">
      <c r="A320" s="1" t="s">
        <v>107</v>
      </c>
      <c r="B320" s="1" t="s">
        <v>1491</v>
      </c>
      <c r="C320" s="1" t="s">
        <v>521</v>
      </c>
      <c r="D320" s="1" t="s">
        <v>1492</v>
      </c>
      <c r="E320" s="1" t="s">
        <v>1270</v>
      </c>
      <c r="F320" s="1" t="s">
        <v>524</v>
      </c>
      <c r="G320" s="1">
        <v>37209</v>
      </c>
      <c r="H320" s="1" t="s">
        <v>525</v>
      </c>
    </row>
    <row r="321" spans="1:8" x14ac:dyDescent="0.35">
      <c r="A321" s="1" t="s">
        <v>108</v>
      </c>
      <c r="B321" s="1" t="s">
        <v>1493</v>
      </c>
      <c r="C321" s="1" t="s">
        <v>521</v>
      </c>
      <c r="D321" s="1" t="s">
        <v>1494</v>
      </c>
      <c r="E321" s="1" t="s">
        <v>1270</v>
      </c>
      <c r="F321" s="1" t="s">
        <v>524</v>
      </c>
      <c r="G321" s="1">
        <v>37206</v>
      </c>
      <c r="H321" s="1" t="s">
        <v>525</v>
      </c>
    </row>
    <row r="322" spans="1:8" x14ac:dyDescent="0.35">
      <c r="A322" s="1" t="s">
        <v>109</v>
      </c>
      <c r="B322" s="1" t="s">
        <v>1495</v>
      </c>
      <c r="C322" s="1" t="s">
        <v>521</v>
      </c>
      <c r="D322" s="1" t="s">
        <v>1496</v>
      </c>
      <c r="E322" s="1" t="s">
        <v>1270</v>
      </c>
      <c r="F322" s="1" t="s">
        <v>524</v>
      </c>
      <c r="G322" s="1">
        <v>37216</v>
      </c>
      <c r="H322" s="1" t="s">
        <v>525</v>
      </c>
    </row>
    <row r="323" spans="1:8" x14ac:dyDescent="0.35">
      <c r="A323" s="1" t="s">
        <v>1497</v>
      </c>
      <c r="B323" s="1" t="s">
        <v>1498</v>
      </c>
      <c r="C323" s="1" t="s">
        <v>521</v>
      </c>
      <c r="D323" s="1" t="s">
        <v>1499</v>
      </c>
      <c r="E323" s="1" t="s">
        <v>1270</v>
      </c>
      <c r="F323" s="1" t="s">
        <v>524</v>
      </c>
      <c r="G323" s="1">
        <v>37210</v>
      </c>
      <c r="H323" s="1" t="s">
        <v>525</v>
      </c>
    </row>
    <row r="324" spans="1:8" x14ac:dyDescent="0.35">
      <c r="A324" s="1" t="s">
        <v>110</v>
      </c>
      <c r="B324" s="1" t="s">
        <v>1500</v>
      </c>
      <c r="C324" s="1" t="s">
        <v>521</v>
      </c>
      <c r="D324" s="1" t="s">
        <v>1501</v>
      </c>
      <c r="E324" s="1" t="s">
        <v>1270</v>
      </c>
      <c r="F324" s="1" t="s">
        <v>524</v>
      </c>
      <c r="G324" s="1">
        <v>37203</v>
      </c>
      <c r="H324" s="1" t="s">
        <v>525</v>
      </c>
    </row>
    <row r="325" spans="1:8" x14ac:dyDescent="0.35">
      <c r="A325" s="1" t="s">
        <v>1502</v>
      </c>
      <c r="B325" s="1" t="s">
        <v>1503</v>
      </c>
      <c r="C325" s="1" t="s">
        <v>521</v>
      </c>
      <c r="D325" s="1" t="s">
        <v>1504</v>
      </c>
      <c r="E325" s="1" t="s">
        <v>1270</v>
      </c>
      <c r="F325" s="1" t="s">
        <v>524</v>
      </c>
      <c r="G325" s="1">
        <v>37214</v>
      </c>
      <c r="H325" s="1" t="s">
        <v>525</v>
      </c>
    </row>
    <row r="326" spans="1:8" x14ac:dyDescent="0.35">
      <c r="A326" s="1" t="s">
        <v>111</v>
      </c>
      <c r="B326" s="1" t="s">
        <v>1505</v>
      </c>
      <c r="C326" s="1" t="s">
        <v>521</v>
      </c>
      <c r="D326" s="1" t="s">
        <v>1506</v>
      </c>
      <c r="E326" s="1" t="s">
        <v>1270</v>
      </c>
      <c r="F326" s="1" t="s">
        <v>524</v>
      </c>
      <c r="G326" s="1">
        <v>37214</v>
      </c>
      <c r="H326" s="1" t="s">
        <v>525</v>
      </c>
    </row>
    <row r="327" spans="1:8" x14ac:dyDescent="0.35">
      <c r="A327" s="1" t="s">
        <v>1507</v>
      </c>
      <c r="B327" s="1" t="s">
        <v>1508</v>
      </c>
      <c r="C327" s="1" t="s">
        <v>521</v>
      </c>
      <c r="D327" s="1" t="s">
        <v>1509</v>
      </c>
      <c r="E327" s="1" t="s">
        <v>1270</v>
      </c>
      <c r="F327" s="1" t="s">
        <v>524</v>
      </c>
      <c r="G327" s="1">
        <v>37211</v>
      </c>
      <c r="H327" s="1" t="s">
        <v>525</v>
      </c>
    </row>
    <row r="328" spans="1:8" x14ac:dyDescent="0.35">
      <c r="A328" s="1" t="s">
        <v>1510</v>
      </c>
      <c r="B328" s="1" t="s">
        <v>1511</v>
      </c>
      <c r="C328" s="1" t="s">
        <v>521</v>
      </c>
      <c r="D328" s="1" t="s">
        <v>1512</v>
      </c>
      <c r="E328" s="1" t="s">
        <v>1270</v>
      </c>
      <c r="F328" s="1" t="s">
        <v>524</v>
      </c>
      <c r="G328" s="1">
        <v>37204</v>
      </c>
      <c r="H328" s="1" t="s">
        <v>525</v>
      </c>
    </row>
    <row r="329" spans="1:8" x14ac:dyDescent="0.35">
      <c r="A329" s="1" t="s">
        <v>1513</v>
      </c>
      <c r="B329" s="1" t="s">
        <v>1514</v>
      </c>
      <c r="C329" s="1" t="s">
        <v>521</v>
      </c>
      <c r="D329" s="1" t="s">
        <v>1515</v>
      </c>
      <c r="E329" s="1" t="s">
        <v>1267</v>
      </c>
      <c r="F329" s="1" t="s">
        <v>524</v>
      </c>
      <c r="G329" s="1">
        <v>37013</v>
      </c>
      <c r="H329" s="1" t="s">
        <v>525</v>
      </c>
    </row>
    <row r="330" spans="1:8" x14ac:dyDescent="0.35">
      <c r="A330" s="1" t="s">
        <v>1516</v>
      </c>
      <c r="B330" s="1" t="s">
        <v>1517</v>
      </c>
      <c r="C330" s="1" t="s">
        <v>521</v>
      </c>
      <c r="D330" s="1" t="s">
        <v>1518</v>
      </c>
      <c r="E330" s="1" t="s">
        <v>1270</v>
      </c>
      <c r="F330" s="1" t="s">
        <v>524</v>
      </c>
      <c r="G330" s="1">
        <v>37212</v>
      </c>
      <c r="H330" s="1" t="s">
        <v>525</v>
      </c>
    </row>
    <row r="331" spans="1:8" x14ac:dyDescent="0.35">
      <c r="A331" s="1" t="s">
        <v>1519</v>
      </c>
      <c r="B331" s="1" t="s">
        <v>1520</v>
      </c>
      <c r="C331" s="1" t="s">
        <v>521</v>
      </c>
      <c r="D331" s="1" t="s">
        <v>1521</v>
      </c>
      <c r="E331" s="1" t="s">
        <v>1270</v>
      </c>
      <c r="F331" s="1" t="s">
        <v>524</v>
      </c>
      <c r="G331" s="1">
        <v>37210</v>
      </c>
      <c r="H331" s="1" t="s">
        <v>525</v>
      </c>
    </row>
    <row r="332" spans="1:8" x14ac:dyDescent="0.35">
      <c r="A332" s="1" t="s">
        <v>112</v>
      </c>
      <c r="B332" s="1" t="s">
        <v>1522</v>
      </c>
      <c r="C332" s="1" t="s">
        <v>521</v>
      </c>
      <c r="D332" s="1" t="s">
        <v>1523</v>
      </c>
      <c r="E332" s="1" t="s">
        <v>1270</v>
      </c>
      <c r="F332" s="1" t="s">
        <v>524</v>
      </c>
      <c r="G332" s="1">
        <v>37210</v>
      </c>
      <c r="H332" s="1" t="s">
        <v>525</v>
      </c>
    </row>
    <row r="333" spans="1:8" x14ac:dyDescent="0.35">
      <c r="A333" s="1" t="s">
        <v>1524</v>
      </c>
      <c r="B333" s="1" t="s">
        <v>1525</v>
      </c>
      <c r="C333" s="1" t="s">
        <v>521</v>
      </c>
      <c r="D333" s="1" t="s">
        <v>1526</v>
      </c>
      <c r="E333" s="1" t="s">
        <v>1278</v>
      </c>
      <c r="F333" s="1" t="s">
        <v>524</v>
      </c>
      <c r="G333" s="1">
        <v>37115</v>
      </c>
      <c r="H333" s="1" t="s">
        <v>525</v>
      </c>
    </row>
    <row r="334" spans="1:8" x14ac:dyDescent="0.35">
      <c r="A334" s="1" t="s">
        <v>1527</v>
      </c>
      <c r="B334" s="1" t="s">
        <v>1528</v>
      </c>
      <c r="C334" s="1" t="s">
        <v>521</v>
      </c>
      <c r="D334" s="1" t="s">
        <v>1529</v>
      </c>
      <c r="E334" s="1" t="s">
        <v>1270</v>
      </c>
      <c r="F334" s="1" t="s">
        <v>524</v>
      </c>
      <c r="G334" s="1">
        <v>37211</v>
      </c>
      <c r="H334" s="1" t="s">
        <v>525</v>
      </c>
    </row>
    <row r="335" spans="1:8" x14ac:dyDescent="0.35">
      <c r="A335" s="1" t="s">
        <v>1530</v>
      </c>
      <c r="B335" s="1" t="s">
        <v>1531</v>
      </c>
      <c r="C335" s="1" t="s">
        <v>521</v>
      </c>
      <c r="D335" s="1" t="s">
        <v>1532</v>
      </c>
      <c r="E335" s="1" t="s">
        <v>1389</v>
      </c>
      <c r="F335" s="1" t="s">
        <v>524</v>
      </c>
      <c r="G335" s="1">
        <v>37072</v>
      </c>
      <c r="H335" s="1" t="s">
        <v>525</v>
      </c>
    </row>
    <row r="336" spans="1:8" x14ac:dyDescent="0.35">
      <c r="A336" s="1" t="s">
        <v>1533</v>
      </c>
      <c r="B336" s="1" t="s">
        <v>1534</v>
      </c>
      <c r="C336" s="1" t="s">
        <v>521</v>
      </c>
      <c r="D336" s="1" t="s">
        <v>1535</v>
      </c>
      <c r="E336" s="1" t="s">
        <v>1270</v>
      </c>
      <c r="F336" s="1" t="s">
        <v>524</v>
      </c>
      <c r="G336" s="1">
        <v>37211</v>
      </c>
      <c r="H336" s="1" t="s">
        <v>525</v>
      </c>
    </row>
    <row r="337" spans="1:8" x14ac:dyDescent="0.35">
      <c r="A337" s="1" t="s">
        <v>1536</v>
      </c>
      <c r="B337" s="1" t="s">
        <v>1537</v>
      </c>
      <c r="C337" s="1" t="s">
        <v>521</v>
      </c>
      <c r="D337" s="1" t="s">
        <v>1538</v>
      </c>
      <c r="E337" s="1" t="s">
        <v>1270</v>
      </c>
      <c r="F337" s="1" t="s">
        <v>524</v>
      </c>
      <c r="G337" s="1">
        <v>37211</v>
      </c>
      <c r="H337" s="1" t="s">
        <v>525</v>
      </c>
    </row>
    <row r="338" spans="1:8" x14ac:dyDescent="0.35">
      <c r="A338" s="1" t="s">
        <v>1539</v>
      </c>
      <c r="B338" s="1" t="s">
        <v>1540</v>
      </c>
      <c r="C338" s="1" t="s">
        <v>521</v>
      </c>
      <c r="D338" s="1" t="s">
        <v>1541</v>
      </c>
      <c r="E338" s="1" t="s">
        <v>1270</v>
      </c>
      <c r="F338" s="1" t="s">
        <v>524</v>
      </c>
      <c r="G338" s="1">
        <v>37209</v>
      </c>
      <c r="H338" s="1" t="s">
        <v>525</v>
      </c>
    </row>
    <row r="339" spans="1:8" x14ac:dyDescent="0.35">
      <c r="A339" s="1" t="s">
        <v>113</v>
      </c>
      <c r="B339" s="1" t="s">
        <v>1542</v>
      </c>
      <c r="C339" s="1" t="s">
        <v>521</v>
      </c>
      <c r="D339" s="1" t="s">
        <v>1543</v>
      </c>
      <c r="E339" s="1" t="s">
        <v>1270</v>
      </c>
      <c r="F339" s="1" t="s">
        <v>524</v>
      </c>
      <c r="G339" s="1">
        <v>37208</v>
      </c>
      <c r="H339" s="1" t="s">
        <v>525</v>
      </c>
    </row>
    <row r="340" spans="1:8" x14ac:dyDescent="0.35">
      <c r="A340" s="1" t="s">
        <v>1544</v>
      </c>
      <c r="B340" s="1" t="s">
        <v>1545</v>
      </c>
      <c r="C340" s="1" t="s">
        <v>521</v>
      </c>
      <c r="D340" s="1" t="s">
        <v>1546</v>
      </c>
      <c r="E340" s="1" t="s">
        <v>1270</v>
      </c>
      <c r="F340" s="1" t="s">
        <v>524</v>
      </c>
      <c r="G340" s="1">
        <v>37214</v>
      </c>
      <c r="H340" s="1" t="s">
        <v>525</v>
      </c>
    </row>
    <row r="341" spans="1:8" x14ac:dyDescent="0.35">
      <c r="A341" s="1" t="s">
        <v>1547</v>
      </c>
      <c r="B341" s="1" t="s">
        <v>1548</v>
      </c>
      <c r="C341" s="1" t="s">
        <v>521</v>
      </c>
      <c r="D341" s="1" t="s">
        <v>1549</v>
      </c>
      <c r="E341" s="1" t="s">
        <v>1270</v>
      </c>
      <c r="F341" s="1" t="s">
        <v>524</v>
      </c>
      <c r="G341" s="1">
        <v>37215</v>
      </c>
      <c r="H341" s="1" t="s">
        <v>525</v>
      </c>
    </row>
    <row r="342" spans="1:8" x14ac:dyDescent="0.35">
      <c r="A342" s="1" t="s">
        <v>1550</v>
      </c>
      <c r="B342" s="1" t="s">
        <v>1551</v>
      </c>
      <c r="C342" s="1" t="s">
        <v>521</v>
      </c>
      <c r="D342" s="1" t="s">
        <v>1552</v>
      </c>
      <c r="E342" s="1" t="s">
        <v>1270</v>
      </c>
      <c r="F342" s="1" t="s">
        <v>524</v>
      </c>
      <c r="G342" s="1">
        <v>37203</v>
      </c>
      <c r="H342" s="1" t="s">
        <v>525</v>
      </c>
    </row>
    <row r="343" spans="1:8" x14ac:dyDescent="0.35">
      <c r="A343" s="1" t="s">
        <v>1553</v>
      </c>
      <c r="B343" s="1" t="s">
        <v>1554</v>
      </c>
      <c r="C343" s="1" t="s">
        <v>521</v>
      </c>
      <c r="D343" s="1" t="s">
        <v>1555</v>
      </c>
      <c r="E343" s="1" t="s">
        <v>1270</v>
      </c>
      <c r="F343" s="1" t="s">
        <v>524</v>
      </c>
      <c r="G343" s="1">
        <v>37206</v>
      </c>
      <c r="H343" s="1" t="s">
        <v>525</v>
      </c>
    </row>
    <row r="344" spans="1:8" x14ac:dyDescent="0.35">
      <c r="A344" s="1" t="s">
        <v>1556</v>
      </c>
      <c r="B344" s="1" t="s">
        <v>1557</v>
      </c>
      <c r="C344" s="1" t="s">
        <v>521</v>
      </c>
      <c r="D344" s="1" t="s">
        <v>1558</v>
      </c>
      <c r="E344" s="1" t="s">
        <v>1343</v>
      </c>
      <c r="F344" s="1" t="s">
        <v>524</v>
      </c>
      <c r="G344" s="1">
        <v>37076</v>
      </c>
      <c r="H344" s="1" t="s">
        <v>525</v>
      </c>
    </row>
    <row r="345" spans="1:8" x14ac:dyDescent="0.35">
      <c r="A345" s="1" t="s">
        <v>1559</v>
      </c>
      <c r="B345" s="1" t="s">
        <v>1560</v>
      </c>
      <c r="C345" s="1" t="s">
        <v>521</v>
      </c>
      <c r="D345" s="1" t="s">
        <v>1561</v>
      </c>
      <c r="E345" s="1" t="s">
        <v>1270</v>
      </c>
      <c r="F345" s="1" t="s">
        <v>524</v>
      </c>
      <c r="G345" s="1">
        <v>37211</v>
      </c>
      <c r="H345" s="1" t="s">
        <v>525</v>
      </c>
    </row>
    <row r="346" spans="1:8" x14ac:dyDescent="0.35">
      <c r="A346" s="1" t="s">
        <v>1562</v>
      </c>
      <c r="B346" s="1" t="s">
        <v>1563</v>
      </c>
      <c r="C346" s="1" t="s">
        <v>521</v>
      </c>
      <c r="D346" s="1" t="s">
        <v>1564</v>
      </c>
      <c r="E346" s="1" t="s">
        <v>1270</v>
      </c>
      <c r="F346" s="1" t="s">
        <v>524</v>
      </c>
      <c r="G346" s="1">
        <v>37207</v>
      </c>
      <c r="H346" s="1" t="s">
        <v>525</v>
      </c>
    </row>
    <row r="347" spans="1:8" x14ac:dyDescent="0.35">
      <c r="A347" s="1" t="s">
        <v>114</v>
      </c>
      <c r="B347" s="1" t="s">
        <v>1565</v>
      </c>
      <c r="C347" s="1" t="s">
        <v>521</v>
      </c>
      <c r="D347" s="1" t="s">
        <v>1566</v>
      </c>
      <c r="E347" s="1" t="s">
        <v>1270</v>
      </c>
      <c r="F347" s="1" t="s">
        <v>524</v>
      </c>
      <c r="G347" s="1">
        <v>37214</v>
      </c>
      <c r="H347" s="1" t="s">
        <v>525</v>
      </c>
    </row>
    <row r="348" spans="1:8" x14ac:dyDescent="0.35">
      <c r="A348" s="1" t="s">
        <v>115</v>
      </c>
      <c r="B348" s="1" t="s">
        <v>1567</v>
      </c>
      <c r="C348" s="1" t="s">
        <v>521</v>
      </c>
      <c r="D348" s="1" t="s">
        <v>1568</v>
      </c>
      <c r="E348" s="1" t="s">
        <v>1270</v>
      </c>
      <c r="F348" s="1" t="s">
        <v>524</v>
      </c>
      <c r="G348" s="1">
        <v>37209</v>
      </c>
      <c r="H348" s="1" t="s">
        <v>525</v>
      </c>
    </row>
    <row r="349" spans="1:8" x14ac:dyDescent="0.35">
      <c r="A349" s="1" t="s">
        <v>1569</v>
      </c>
      <c r="B349" s="1" t="s">
        <v>1570</v>
      </c>
      <c r="C349" s="1" t="s">
        <v>521</v>
      </c>
      <c r="D349" s="1" t="s">
        <v>1571</v>
      </c>
      <c r="E349" s="1" t="s">
        <v>1270</v>
      </c>
      <c r="F349" s="1" t="s">
        <v>524</v>
      </c>
      <c r="G349" s="1">
        <v>37214</v>
      </c>
      <c r="H349" s="1" t="s">
        <v>525</v>
      </c>
    </row>
    <row r="350" spans="1:8" x14ac:dyDescent="0.35">
      <c r="A350" s="1" t="s">
        <v>1572</v>
      </c>
      <c r="B350" s="1" t="s">
        <v>1573</v>
      </c>
      <c r="C350" s="1" t="s">
        <v>521</v>
      </c>
      <c r="D350" s="1" t="s">
        <v>1574</v>
      </c>
      <c r="E350" s="1" t="s">
        <v>1270</v>
      </c>
      <c r="F350" s="1" t="s">
        <v>524</v>
      </c>
      <c r="G350" s="1">
        <v>37208</v>
      </c>
      <c r="H350" s="1" t="s">
        <v>525</v>
      </c>
    </row>
    <row r="351" spans="1:8" x14ac:dyDescent="0.35">
      <c r="A351" s="1" t="s">
        <v>116</v>
      </c>
      <c r="B351" s="1" t="s">
        <v>1575</v>
      </c>
      <c r="C351" s="1" t="s">
        <v>521</v>
      </c>
      <c r="D351" s="1" t="s">
        <v>1576</v>
      </c>
      <c r="E351" s="1" t="s">
        <v>1270</v>
      </c>
      <c r="F351" s="1" t="s">
        <v>524</v>
      </c>
      <c r="G351" s="1">
        <v>37216</v>
      </c>
      <c r="H351" s="1" t="s">
        <v>525</v>
      </c>
    </row>
    <row r="352" spans="1:8" x14ac:dyDescent="0.35">
      <c r="A352" s="1" t="s">
        <v>1577</v>
      </c>
      <c r="B352" s="1" t="s">
        <v>1578</v>
      </c>
      <c r="C352" s="1" t="s">
        <v>521</v>
      </c>
      <c r="D352" s="1" t="s">
        <v>1579</v>
      </c>
      <c r="E352" s="1" t="s">
        <v>1278</v>
      </c>
      <c r="F352" s="1" t="s">
        <v>524</v>
      </c>
      <c r="G352" s="1">
        <v>37115</v>
      </c>
      <c r="H352" s="1" t="s">
        <v>525</v>
      </c>
    </row>
    <row r="353" spans="1:8" x14ac:dyDescent="0.35">
      <c r="A353" s="1" t="s">
        <v>1580</v>
      </c>
      <c r="B353" s="1" t="s">
        <v>1581</v>
      </c>
      <c r="C353" s="1" t="s">
        <v>521</v>
      </c>
      <c r="D353" s="1" t="s">
        <v>1582</v>
      </c>
      <c r="E353" s="1" t="s">
        <v>1278</v>
      </c>
      <c r="F353" s="1" t="s">
        <v>524</v>
      </c>
      <c r="G353" s="1">
        <v>37115</v>
      </c>
      <c r="H353" s="1" t="s">
        <v>525</v>
      </c>
    </row>
    <row r="354" spans="1:8" x14ac:dyDescent="0.35">
      <c r="A354" s="1" t="s">
        <v>1583</v>
      </c>
      <c r="B354" s="1" t="s">
        <v>1584</v>
      </c>
      <c r="C354" s="1" t="s">
        <v>521</v>
      </c>
      <c r="D354" s="1" t="s">
        <v>1585</v>
      </c>
      <c r="E354" s="1" t="s">
        <v>1270</v>
      </c>
      <c r="F354" s="1" t="s">
        <v>524</v>
      </c>
      <c r="G354" s="1">
        <v>37209</v>
      </c>
      <c r="H354" s="1" t="s">
        <v>525</v>
      </c>
    </row>
    <row r="355" spans="1:8" x14ac:dyDescent="0.35">
      <c r="A355" s="1" t="s">
        <v>1586</v>
      </c>
      <c r="B355" s="1" t="s">
        <v>1587</v>
      </c>
      <c r="C355" s="1" t="s">
        <v>521</v>
      </c>
      <c r="D355" s="1" t="s">
        <v>1588</v>
      </c>
      <c r="E355" s="1" t="s">
        <v>1267</v>
      </c>
      <c r="F355" s="1" t="s">
        <v>524</v>
      </c>
      <c r="G355" s="1">
        <v>37013</v>
      </c>
      <c r="H355" s="1" t="s">
        <v>525</v>
      </c>
    </row>
    <row r="356" spans="1:8" x14ac:dyDescent="0.35">
      <c r="A356" s="1" t="s">
        <v>1589</v>
      </c>
      <c r="B356" s="1" t="s">
        <v>1590</v>
      </c>
      <c r="C356" s="1" t="s">
        <v>521</v>
      </c>
      <c r="D356" s="1" t="s">
        <v>1591</v>
      </c>
      <c r="E356" s="1" t="s">
        <v>1270</v>
      </c>
      <c r="F356" s="1" t="s">
        <v>524</v>
      </c>
      <c r="G356" s="1">
        <v>37207</v>
      </c>
      <c r="H356" s="1" t="s">
        <v>525</v>
      </c>
    </row>
    <row r="357" spans="1:8" x14ac:dyDescent="0.35">
      <c r="A357" s="1" t="s">
        <v>1592</v>
      </c>
      <c r="B357" s="1" t="s">
        <v>1593</v>
      </c>
      <c r="C357" s="1" t="s">
        <v>521</v>
      </c>
      <c r="D357" s="1" t="s">
        <v>1594</v>
      </c>
      <c r="E357" s="1" t="s">
        <v>1343</v>
      </c>
      <c r="F357" s="1" t="s">
        <v>524</v>
      </c>
      <c r="G357" s="1">
        <v>37076</v>
      </c>
      <c r="H357" s="1" t="s">
        <v>525</v>
      </c>
    </row>
    <row r="358" spans="1:8" x14ac:dyDescent="0.35">
      <c r="A358" s="1" t="s">
        <v>1595</v>
      </c>
      <c r="B358" s="1" t="s">
        <v>1596</v>
      </c>
      <c r="C358" s="1" t="s">
        <v>521</v>
      </c>
      <c r="D358" s="1" t="s">
        <v>1597</v>
      </c>
      <c r="E358" s="1" t="s">
        <v>1270</v>
      </c>
      <c r="F358" s="1" t="s">
        <v>524</v>
      </c>
      <c r="G358" s="1">
        <v>37211</v>
      </c>
      <c r="H358" s="1" t="s">
        <v>525</v>
      </c>
    </row>
    <row r="359" spans="1:8" x14ac:dyDescent="0.35">
      <c r="A359" s="1" t="s">
        <v>1598</v>
      </c>
      <c r="B359" s="1" t="s">
        <v>1599</v>
      </c>
      <c r="C359" s="1" t="s">
        <v>521</v>
      </c>
      <c r="D359" s="1" t="s">
        <v>1600</v>
      </c>
      <c r="E359" s="1" t="s">
        <v>1270</v>
      </c>
      <c r="F359" s="1" t="s">
        <v>524</v>
      </c>
      <c r="G359" s="1">
        <v>37214</v>
      </c>
      <c r="H359" s="1" t="s">
        <v>525</v>
      </c>
    </row>
    <row r="360" spans="1:8" x14ac:dyDescent="0.35">
      <c r="A360" s="1" t="s">
        <v>1601</v>
      </c>
      <c r="B360" s="1" t="s">
        <v>1602</v>
      </c>
      <c r="C360" s="1" t="s">
        <v>521</v>
      </c>
      <c r="D360" s="1" t="s">
        <v>1603</v>
      </c>
      <c r="E360" s="1" t="s">
        <v>1270</v>
      </c>
      <c r="F360" s="1" t="s">
        <v>524</v>
      </c>
      <c r="G360" s="1">
        <v>37214</v>
      </c>
      <c r="H360" s="1" t="s">
        <v>525</v>
      </c>
    </row>
    <row r="361" spans="1:8" x14ac:dyDescent="0.35">
      <c r="A361" s="1" t="s">
        <v>1604</v>
      </c>
      <c r="B361" s="1" t="s">
        <v>1605</v>
      </c>
      <c r="C361" s="1" t="s">
        <v>521</v>
      </c>
      <c r="D361" s="1" t="s">
        <v>1606</v>
      </c>
      <c r="E361" s="1" t="s">
        <v>1270</v>
      </c>
      <c r="F361" s="1" t="s">
        <v>524</v>
      </c>
      <c r="G361" s="1">
        <v>37203</v>
      </c>
      <c r="H361" s="1" t="s">
        <v>525</v>
      </c>
    </row>
    <row r="362" spans="1:8" x14ac:dyDescent="0.35">
      <c r="A362" s="1" t="s">
        <v>1607</v>
      </c>
      <c r="B362" s="1" t="s">
        <v>1608</v>
      </c>
      <c r="C362" s="1" t="s">
        <v>521</v>
      </c>
      <c r="D362" s="1" t="s">
        <v>1609</v>
      </c>
      <c r="E362" s="1" t="s">
        <v>1270</v>
      </c>
      <c r="F362" s="1" t="s">
        <v>524</v>
      </c>
      <c r="G362" s="1">
        <v>37206</v>
      </c>
      <c r="H362" s="1" t="s">
        <v>525</v>
      </c>
    </row>
    <row r="363" spans="1:8" x14ac:dyDescent="0.35">
      <c r="A363" s="1" t="s">
        <v>1610</v>
      </c>
      <c r="B363" s="1" t="s">
        <v>1611</v>
      </c>
      <c r="C363" s="1" t="s">
        <v>521</v>
      </c>
      <c r="D363" s="1" t="s">
        <v>1612</v>
      </c>
      <c r="E363" s="1" t="s">
        <v>1270</v>
      </c>
      <c r="F363" s="1" t="s">
        <v>524</v>
      </c>
      <c r="G363" s="1">
        <v>37205</v>
      </c>
      <c r="H363" s="1" t="s">
        <v>525</v>
      </c>
    </row>
    <row r="364" spans="1:8" x14ac:dyDescent="0.35">
      <c r="A364" s="1" t="s">
        <v>1613</v>
      </c>
      <c r="B364" s="1" t="s">
        <v>1614</v>
      </c>
      <c r="C364" s="1" t="s">
        <v>521</v>
      </c>
      <c r="D364" s="1" t="s">
        <v>1615</v>
      </c>
      <c r="E364" s="1" t="s">
        <v>1270</v>
      </c>
      <c r="F364" s="1" t="s">
        <v>524</v>
      </c>
      <c r="G364" s="1">
        <v>37205</v>
      </c>
      <c r="H364" s="1" t="s">
        <v>525</v>
      </c>
    </row>
    <row r="365" spans="1:8" x14ac:dyDescent="0.35">
      <c r="A365" s="1" t="s">
        <v>1616</v>
      </c>
      <c r="B365" s="1" t="s">
        <v>1617</v>
      </c>
      <c r="C365" s="1" t="s">
        <v>521</v>
      </c>
      <c r="D365" s="1" t="s">
        <v>1618</v>
      </c>
      <c r="E365" s="1" t="s">
        <v>1270</v>
      </c>
      <c r="F365" s="1" t="s">
        <v>524</v>
      </c>
      <c r="G365" s="1">
        <v>37218</v>
      </c>
      <c r="H365" s="1" t="s">
        <v>525</v>
      </c>
    </row>
    <row r="366" spans="1:8" x14ac:dyDescent="0.35">
      <c r="A366" s="1" t="s">
        <v>117</v>
      </c>
      <c r="B366" s="1" t="s">
        <v>1619</v>
      </c>
      <c r="C366" s="1" t="s">
        <v>521</v>
      </c>
      <c r="D366" s="1" t="s">
        <v>1620</v>
      </c>
      <c r="E366" s="1" t="s">
        <v>1274</v>
      </c>
      <c r="F366" s="1" t="s">
        <v>524</v>
      </c>
      <c r="G366" s="1">
        <v>37189</v>
      </c>
      <c r="H366" s="1" t="s">
        <v>525</v>
      </c>
    </row>
    <row r="367" spans="1:8" x14ac:dyDescent="0.35">
      <c r="A367" s="1" t="s">
        <v>1621</v>
      </c>
      <c r="B367" s="1" t="s">
        <v>1622</v>
      </c>
      <c r="C367" s="1" t="s">
        <v>521</v>
      </c>
      <c r="D367" s="1" t="s">
        <v>1623</v>
      </c>
      <c r="E367" s="1" t="s">
        <v>1270</v>
      </c>
      <c r="F367" s="1" t="s">
        <v>524</v>
      </c>
      <c r="G367" s="1">
        <v>37211</v>
      </c>
      <c r="H367" s="1" t="s">
        <v>525</v>
      </c>
    </row>
    <row r="368" spans="1:8" x14ac:dyDescent="0.35">
      <c r="A368" s="1" t="s">
        <v>118</v>
      </c>
      <c r="B368" s="1" t="s">
        <v>1624</v>
      </c>
      <c r="C368" s="1" t="s">
        <v>521</v>
      </c>
      <c r="D368" s="1" t="s">
        <v>1625</v>
      </c>
      <c r="E368" s="1" t="s">
        <v>1267</v>
      </c>
      <c r="F368" s="1" t="s">
        <v>524</v>
      </c>
      <c r="G368" s="1">
        <v>37013</v>
      </c>
      <c r="H368" s="1" t="s">
        <v>525</v>
      </c>
    </row>
    <row r="369" spans="1:8" x14ac:dyDescent="0.35">
      <c r="A369" s="1" t="s">
        <v>119</v>
      </c>
      <c r="B369" s="1" t="s">
        <v>1626</v>
      </c>
      <c r="C369" s="1" t="s">
        <v>521</v>
      </c>
      <c r="D369" s="1" t="s">
        <v>1627</v>
      </c>
      <c r="E369" s="1" t="s">
        <v>1270</v>
      </c>
      <c r="F369" s="1" t="s">
        <v>524</v>
      </c>
      <c r="G369" s="1">
        <v>37210</v>
      </c>
      <c r="H369" s="1" t="s">
        <v>525</v>
      </c>
    </row>
    <row r="370" spans="1:8" x14ac:dyDescent="0.35">
      <c r="A370" s="1" t="s">
        <v>1628</v>
      </c>
      <c r="B370" s="1" t="s">
        <v>1629</v>
      </c>
      <c r="C370" s="1" t="s">
        <v>521</v>
      </c>
      <c r="D370" s="1" t="s">
        <v>1630</v>
      </c>
      <c r="E370" s="1" t="s">
        <v>1270</v>
      </c>
      <c r="F370" s="1" t="s">
        <v>524</v>
      </c>
      <c r="G370" s="1">
        <v>37209</v>
      </c>
      <c r="H370" s="1" t="s">
        <v>525</v>
      </c>
    </row>
    <row r="371" spans="1:8" x14ac:dyDescent="0.35">
      <c r="A371" s="1" t="s">
        <v>1631</v>
      </c>
      <c r="B371" s="1" t="s">
        <v>1632</v>
      </c>
      <c r="C371" s="1" t="s">
        <v>521</v>
      </c>
      <c r="D371" s="1" t="s">
        <v>1633</v>
      </c>
      <c r="E371" s="1" t="s">
        <v>1267</v>
      </c>
      <c r="F371" s="1" t="s">
        <v>524</v>
      </c>
      <c r="G371" s="1">
        <v>37013</v>
      </c>
      <c r="H371" s="1" t="s">
        <v>525</v>
      </c>
    </row>
    <row r="372" spans="1:8" x14ac:dyDescent="0.35">
      <c r="A372" s="1" t="s">
        <v>1634</v>
      </c>
      <c r="B372" s="1" t="s">
        <v>1635</v>
      </c>
      <c r="C372" s="1" t="s">
        <v>521</v>
      </c>
      <c r="D372" s="1" t="s">
        <v>1636</v>
      </c>
      <c r="E372" s="1" t="s">
        <v>1270</v>
      </c>
      <c r="F372" s="1" t="s">
        <v>524</v>
      </c>
      <c r="G372" s="1">
        <v>37204</v>
      </c>
      <c r="H372" s="1" t="s">
        <v>525</v>
      </c>
    </row>
    <row r="373" spans="1:8" x14ac:dyDescent="0.35">
      <c r="A373" s="1" t="s">
        <v>1637</v>
      </c>
      <c r="B373" s="1" t="s">
        <v>1638</v>
      </c>
      <c r="C373" s="1" t="s">
        <v>1639</v>
      </c>
      <c r="D373" s="1" t="s">
        <v>1640</v>
      </c>
      <c r="E373" s="1" t="s">
        <v>1278</v>
      </c>
      <c r="F373" s="1" t="s">
        <v>524</v>
      </c>
      <c r="G373" s="1">
        <v>37115</v>
      </c>
      <c r="H373" s="1" t="s">
        <v>1641</v>
      </c>
    </row>
    <row r="374" spans="1:8" x14ac:dyDescent="0.35">
      <c r="A374" s="1" t="s">
        <v>1642</v>
      </c>
      <c r="B374" s="1" t="s">
        <v>1643</v>
      </c>
      <c r="C374" s="1" t="s">
        <v>1639</v>
      </c>
      <c r="D374" s="1" t="s">
        <v>1644</v>
      </c>
      <c r="E374" s="1" t="s">
        <v>1270</v>
      </c>
      <c r="F374" s="1" t="s">
        <v>524</v>
      </c>
      <c r="G374" s="1">
        <v>37207</v>
      </c>
      <c r="H374" s="1" t="s">
        <v>1641</v>
      </c>
    </row>
    <row r="375" spans="1:8" x14ac:dyDescent="0.35">
      <c r="A375" s="1" t="s">
        <v>120</v>
      </c>
      <c r="B375" s="1" t="s">
        <v>1645</v>
      </c>
      <c r="C375" s="1" t="s">
        <v>1639</v>
      </c>
      <c r="D375" s="1" t="s">
        <v>1646</v>
      </c>
      <c r="E375" s="1" t="s">
        <v>1270</v>
      </c>
      <c r="F375" s="1" t="s">
        <v>524</v>
      </c>
      <c r="G375" s="1">
        <v>37210</v>
      </c>
      <c r="H375" s="1" t="s">
        <v>1641</v>
      </c>
    </row>
    <row r="376" spans="1:8" x14ac:dyDescent="0.35">
      <c r="A376" s="1" t="s">
        <v>1647</v>
      </c>
      <c r="B376" s="1" t="s">
        <v>1648</v>
      </c>
      <c r="C376" s="1" t="s">
        <v>1639</v>
      </c>
      <c r="D376" s="1" t="s">
        <v>1649</v>
      </c>
      <c r="E376" s="1" t="s">
        <v>1270</v>
      </c>
      <c r="F376" s="1" t="s">
        <v>524</v>
      </c>
      <c r="G376" s="1">
        <v>37217</v>
      </c>
      <c r="H376" s="1" t="s">
        <v>1641</v>
      </c>
    </row>
    <row r="377" spans="1:8" x14ac:dyDescent="0.35">
      <c r="A377" s="1" t="s">
        <v>1650</v>
      </c>
      <c r="B377" s="1" t="s">
        <v>1651</v>
      </c>
      <c r="C377" s="1" t="s">
        <v>1639</v>
      </c>
      <c r="D377" s="1" t="s">
        <v>1652</v>
      </c>
      <c r="E377" s="1" t="s">
        <v>1270</v>
      </c>
      <c r="F377" s="1" t="s">
        <v>524</v>
      </c>
      <c r="G377" s="1">
        <v>37206</v>
      </c>
      <c r="H377" s="1" t="s">
        <v>1641</v>
      </c>
    </row>
    <row r="378" spans="1:8" x14ac:dyDescent="0.35">
      <c r="A378" s="1" t="s">
        <v>1653</v>
      </c>
      <c r="B378" s="1" t="s">
        <v>1654</v>
      </c>
      <c r="C378" s="1" t="s">
        <v>1639</v>
      </c>
      <c r="D378" s="1" t="s">
        <v>1655</v>
      </c>
      <c r="E378" s="1" t="s">
        <v>1270</v>
      </c>
      <c r="F378" s="1" t="s">
        <v>524</v>
      </c>
      <c r="G378" s="1">
        <v>37210</v>
      </c>
      <c r="H378" s="1" t="s">
        <v>1641</v>
      </c>
    </row>
    <row r="379" spans="1:8" x14ac:dyDescent="0.35">
      <c r="A379" s="1" t="s">
        <v>1656</v>
      </c>
      <c r="B379" s="1" t="s">
        <v>1657</v>
      </c>
      <c r="C379" s="1" t="s">
        <v>1639</v>
      </c>
      <c r="D379" s="1" t="s">
        <v>1658</v>
      </c>
      <c r="E379" s="1" t="s">
        <v>1270</v>
      </c>
      <c r="F379" s="1" t="s">
        <v>524</v>
      </c>
      <c r="G379" s="1">
        <v>37209</v>
      </c>
      <c r="H379" s="1" t="s">
        <v>1641</v>
      </c>
    </row>
    <row r="380" spans="1:8" x14ac:dyDescent="0.35">
      <c r="A380" s="1" t="s">
        <v>1659</v>
      </c>
      <c r="B380" s="1" t="s">
        <v>1660</v>
      </c>
      <c r="C380" s="1" t="s">
        <v>1639</v>
      </c>
      <c r="D380" s="1" t="s">
        <v>1661</v>
      </c>
      <c r="E380" s="1" t="s">
        <v>1270</v>
      </c>
      <c r="F380" s="1" t="s">
        <v>524</v>
      </c>
      <c r="G380" s="1">
        <v>37216</v>
      </c>
      <c r="H380" s="1" t="s">
        <v>1641</v>
      </c>
    </row>
    <row r="381" spans="1:8" x14ac:dyDescent="0.35">
      <c r="A381" s="1" t="s">
        <v>1662</v>
      </c>
      <c r="B381" s="1" t="s">
        <v>1663</v>
      </c>
      <c r="C381" s="1" t="s">
        <v>1639</v>
      </c>
      <c r="D381" s="1" t="s">
        <v>1664</v>
      </c>
      <c r="E381" s="1" t="s">
        <v>1270</v>
      </c>
      <c r="F381" s="1" t="s">
        <v>524</v>
      </c>
      <c r="G381" s="1">
        <v>37210</v>
      </c>
      <c r="H381" s="1" t="s">
        <v>1641</v>
      </c>
    </row>
    <row r="382" spans="1:8" x14ac:dyDescent="0.35">
      <c r="A382" s="1" t="s">
        <v>121</v>
      </c>
      <c r="B382" s="1" t="s">
        <v>1665</v>
      </c>
      <c r="C382" s="1" t="s">
        <v>1639</v>
      </c>
      <c r="D382" s="1" t="s">
        <v>1644</v>
      </c>
      <c r="E382" s="1" t="s">
        <v>1270</v>
      </c>
      <c r="F382" s="1" t="s">
        <v>524</v>
      </c>
      <c r="G382" s="1">
        <v>37207</v>
      </c>
      <c r="H382" s="1" t="s">
        <v>1641</v>
      </c>
    </row>
    <row r="383" spans="1:8" x14ac:dyDescent="0.35">
      <c r="A383" s="1" t="s">
        <v>1666</v>
      </c>
      <c r="B383" s="1" t="s">
        <v>1667</v>
      </c>
      <c r="C383" s="1" t="s">
        <v>1639</v>
      </c>
      <c r="D383" s="1" t="s">
        <v>1668</v>
      </c>
      <c r="E383" s="1" t="s">
        <v>1267</v>
      </c>
      <c r="F383" s="1" t="s">
        <v>524</v>
      </c>
      <c r="G383" s="1">
        <v>37013</v>
      </c>
      <c r="H383" s="1" t="s">
        <v>1641</v>
      </c>
    </row>
    <row r="384" spans="1:8" x14ac:dyDescent="0.35">
      <c r="A384" s="1" t="s">
        <v>1669</v>
      </c>
      <c r="B384" s="1" t="s">
        <v>1670</v>
      </c>
      <c r="C384" s="1" t="s">
        <v>1639</v>
      </c>
      <c r="D384" s="1" t="s">
        <v>1671</v>
      </c>
      <c r="E384" s="1" t="s">
        <v>1270</v>
      </c>
      <c r="F384" s="1" t="s">
        <v>524</v>
      </c>
      <c r="G384" s="1">
        <v>37211</v>
      </c>
      <c r="H384" s="1" t="s">
        <v>1641</v>
      </c>
    </row>
    <row r="385" spans="1:8" x14ac:dyDescent="0.35">
      <c r="A385" s="1" t="s">
        <v>1672</v>
      </c>
      <c r="B385" s="1" t="s">
        <v>1673</v>
      </c>
      <c r="C385" s="1" t="s">
        <v>1639</v>
      </c>
      <c r="D385" s="1" t="s">
        <v>1674</v>
      </c>
      <c r="E385" s="1" t="s">
        <v>1270</v>
      </c>
      <c r="F385" s="1" t="s">
        <v>524</v>
      </c>
      <c r="G385" s="1">
        <v>37207</v>
      </c>
      <c r="H385" s="1" t="s">
        <v>1641</v>
      </c>
    </row>
    <row r="386" spans="1:8" x14ac:dyDescent="0.35">
      <c r="A386" s="1" t="s">
        <v>1675</v>
      </c>
      <c r="B386" s="1" t="s">
        <v>1676</v>
      </c>
      <c r="C386" s="1" t="s">
        <v>1639</v>
      </c>
      <c r="D386" s="1" t="s">
        <v>1677</v>
      </c>
      <c r="E386" s="1" t="s">
        <v>1270</v>
      </c>
      <c r="F386" s="1" t="s">
        <v>524</v>
      </c>
      <c r="G386" s="1">
        <v>37206</v>
      </c>
      <c r="H386" s="1" t="s">
        <v>1641</v>
      </c>
    </row>
    <row r="387" spans="1:8" x14ac:dyDescent="0.35">
      <c r="A387" s="1" t="s">
        <v>1678</v>
      </c>
      <c r="B387" s="1" t="s">
        <v>1679</v>
      </c>
      <c r="C387" s="1" t="s">
        <v>1639</v>
      </c>
      <c r="D387" s="1" t="s">
        <v>1680</v>
      </c>
      <c r="E387" s="1" t="s">
        <v>1270</v>
      </c>
      <c r="F387" s="1" t="s">
        <v>524</v>
      </c>
      <c r="G387" s="1">
        <v>37211</v>
      </c>
      <c r="H387" s="1" t="s">
        <v>1641</v>
      </c>
    </row>
    <row r="388" spans="1:8" x14ac:dyDescent="0.35">
      <c r="A388" s="1" t="s">
        <v>1681</v>
      </c>
      <c r="B388" s="1" t="s">
        <v>1682</v>
      </c>
      <c r="C388" s="1" t="s">
        <v>1639</v>
      </c>
      <c r="D388" s="1" t="s">
        <v>1683</v>
      </c>
      <c r="E388" s="1" t="s">
        <v>1270</v>
      </c>
      <c r="F388" s="1" t="s">
        <v>524</v>
      </c>
      <c r="G388" s="1">
        <v>37228</v>
      </c>
      <c r="H388" s="1" t="s">
        <v>1641</v>
      </c>
    </row>
    <row r="389" spans="1:8" x14ac:dyDescent="0.35">
      <c r="A389" s="1" t="s">
        <v>1684</v>
      </c>
      <c r="B389" s="1" t="s">
        <v>1685</v>
      </c>
      <c r="C389" s="1" t="s">
        <v>1639</v>
      </c>
      <c r="D389" s="1" t="s">
        <v>1686</v>
      </c>
      <c r="E389" s="1" t="s">
        <v>1267</v>
      </c>
      <c r="F389" s="1" t="s">
        <v>524</v>
      </c>
      <c r="G389" s="1">
        <v>37013</v>
      </c>
      <c r="H389" s="1" t="s">
        <v>1641</v>
      </c>
    </row>
    <row r="390" spans="1:8" x14ac:dyDescent="0.35">
      <c r="A390" s="1" t="s">
        <v>1687</v>
      </c>
      <c r="B390" s="1" t="s">
        <v>1688</v>
      </c>
      <c r="C390" s="1" t="s">
        <v>1639</v>
      </c>
      <c r="D390" s="1" t="s">
        <v>1689</v>
      </c>
      <c r="E390" s="1" t="s">
        <v>1270</v>
      </c>
      <c r="F390" s="1" t="s">
        <v>524</v>
      </c>
      <c r="G390" s="1">
        <v>37207</v>
      </c>
      <c r="H390" s="1" t="s">
        <v>1641</v>
      </c>
    </row>
    <row r="391" spans="1:8" x14ac:dyDescent="0.35">
      <c r="A391" s="1" t="s">
        <v>1690</v>
      </c>
      <c r="B391" s="1" t="s">
        <v>1691</v>
      </c>
      <c r="C391" s="1" t="s">
        <v>1639</v>
      </c>
      <c r="D391" s="1" t="s">
        <v>1692</v>
      </c>
      <c r="E391" s="1" t="s">
        <v>1270</v>
      </c>
      <c r="F391" s="1" t="s">
        <v>524</v>
      </c>
      <c r="G391" s="1">
        <v>37207</v>
      </c>
      <c r="H391" s="1" t="s">
        <v>1641</v>
      </c>
    </row>
    <row r="392" spans="1:8" x14ac:dyDescent="0.35">
      <c r="A392" s="1" t="s">
        <v>1693</v>
      </c>
      <c r="B392" s="1" t="s">
        <v>1694</v>
      </c>
      <c r="C392" s="1" t="s">
        <v>1639</v>
      </c>
      <c r="D392" s="1" t="s">
        <v>1695</v>
      </c>
      <c r="E392" s="1" t="s">
        <v>1696</v>
      </c>
      <c r="F392" s="1" t="s">
        <v>524</v>
      </c>
      <c r="G392" s="1">
        <v>37206</v>
      </c>
      <c r="H392" s="1" t="s">
        <v>1641</v>
      </c>
    </row>
    <row r="393" spans="1:8" x14ac:dyDescent="0.35">
      <c r="A393" s="1" t="s">
        <v>1697</v>
      </c>
      <c r="B393" s="1" t="s">
        <v>1698</v>
      </c>
      <c r="C393" s="1" t="s">
        <v>1639</v>
      </c>
      <c r="D393" s="1" t="s">
        <v>1668</v>
      </c>
      <c r="E393" s="1" t="s">
        <v>1267</v>
      </c>
      <c r="F393" s="1" t="s">
        <v>524</v>
      </c>
      <c r="G393" s="1">
        <v>37013</v>
      </c>
      <c r="H393" s="1" t="s">
        <v>1641</v>
      </c>
    </row>
    <row r="394" spans="1:8" x14ac:dyDescent="0.35">
      <c r="A394" s="1" t="s">
        <v>1699</v>
      </c>
      <c r="B394" s="1" t="s">
        <v>1700</v>
      </c>
      <c r="C394" s="1" t="s">
        <v>1639</v>
      </c>
      <c r="D394" s="1" t="s">
        <v>1701</v>
      </c>
      <c r="E394" s="1" t="s">
        <v>1270</v>
      </c>
      <c r="F394" s="1" t="s">
        <v>524</v>
      </c>
      <c r="G394" s="1">
        <v>37217</v>
      </c>
      <c r="H394" s="1" t="s">
        <v>1641</v>
      </c>
    </row>
    <row r="395" spans="1:8" x14ac:dyDescent="0.35">
      <c r="A395" s="1" t="s">
        <v>1702</v>
      </c>
      <c r="B395" s="1" t="s">
        <v>1703</v>
      </c>
      <c r="C395" s="1" t="s">
        <v>1639</v>
      </c>
      <c r="D395" s="1" t="s">
        <v>1704</v>
      </c>
      <c r="E395" s="1" t="s">
        <v>1270</v>
      </c>
      <c r="F395" s="1" t="s">
        <v>524</v>
      </c>
      <c r="G395" s="1">
        <v>37210</v>
      </c>
      <c r="H395" s="1" t="s">
        <v>1641</v>
      </c>
    </row>
    <row r="396" spans="1:8" x14ac:dyDescent="0.35">
      <c r="A396" s="1" t="s">
        <v>1705</v>
      </c>
      <c r="B396" s="1" t="s">
        <v>1706</v>
      </c>
      <c r="C396" s="1" t="s">
        <v>1639</v>
      </c>
      <c r="D396" s="1" t="s">
        <v>1707</v>
      </c>
      <c r="E396" s="1" t="s">
        <v>1270</v>
      </c>
      <c r="F396" s="1" t="s">
        <v>524</v>
      </c>
      <c r="G396" s="1">
        <v>37211</v>
      </c>
      <c r="H396" s="1" t="s">
        <v>1641</v>
      </c>
    </row>
    <row r="397" spans="1:8" x14ac:dyDescent="0.35">
      <c r="A397" s="1" t="s">
        <v>1708</v>
      </c>
      <c r="B397" s="1" t="s">
        <v>1709</v>
      </c>
      <c r="C397" s="1" t="s">
        <v>1639</v>
      </c>
      <c r="D397" s="1" t="s">
        <v>1674</v>
      </c>
      <c r="E397" s="1" t="s">
        <v>1270</v>
      </c>
      <c r="F397" s="1" t="s">
        <v>524</v>
      </c>
      <c r="G397" s="1">
        <v>37207</v>
      </c>
      <c r="H397" s="1" t="s">
        <v>1641</v>
      </c>
    </row>
    <row r="398" spans="1:8" x14ac:dyDescent="0.35">
      <c r="A398" s="1" t="s">
        <v>1710</v>
      </c>
      <c r="B398" s="1" t="s">
        <v>1711</v>
      </c>
      <c r="C398" s="1" t="s">
        <v>1639</v>
      </c>
      <c r="D398" s="1" t="s">
        <v>1712</v>
      </c>
      <c r="E398" s="1" t="s">
        <v>1270</v>
      </c>
      <c r="F398" s="1" t="s">
        <v>524</v>
      </c>
      <c r="G398" s="1">
        <v>37214</v>
      </c>
      <c r="H398" s="1" t="s">
        <v>1641</v>
      </c>
    </row>
    <row r="399" spans="1:8" x14ac:dyDescent="0.35">
      <c r="A399" s="1" t="s">
        <v>1713</v>
      </c>
      <c r="B399" s="1" t="s">
        <v>1714</v>
      </c>
      <c r="C399" s="1" t="s">
        <v>1639</v>
      </c>
      <c r="D399" s="1" t="s">
        <v>1715</v>
      </c>
      <c r="E399" s="1" t="s">
        <v>1270</v>
      </c>
      <c r="F399" s="1" t="s">
        <v>524</v>
      </c>
      <c r="G399" s="1">
        <v>37206</v>
      </c>
      <c r="H399" s="1" t="s">
        <v>1641</v>
      </c>
    </row>
    <row r="400" spans="1:8" x14ac:dyDescent="0.35">
      <c r="A400" s="1" t="s">
        <v>1716</v>
      </c>
      <c r="B400" s="1" t="s">
        <v>1717</v>
      </c>
      <c r="C400" s="1" t="s">
        <v>1639</v>
      </c>
      <c r="D400" s="1" t="s">
        <v>1692</v>
      </c>
      <c r="E400" s="1" t="s">
        <v>1270</v>
      </c>
      <c r="F400" s="1" t="s">
        <v>524</v>
      </c>
      <c r="G400" s="1">
        <v>37207</v>
      </c>
      <c r="H400" s="1" t="s">
        <v>1641</v>
      </c>
    </row>
    <row r="401" spans="1:8" x14ac:dyDescent="0.35">
      <c r="A401" s="1" t="s">
        <v>1718</v>
      </c>
      <c r="B401" s="1" t="s">
        <v>1719</v>
      </c>
      <c r="C401" s="1" t="s">
        <v>1639</v>
      </c>
      <c r="D401" s="1" t="s">
        <v>1668</v>
      </c>
      <c r="E401" s="1" t="s">
        <v>1267</v>
      </c>
      <c r="F401" s="1" t="s">
        <v>524</v>
      </c>
      <c r="G401" s="1">
        <v>37013</v>
      </c>
      <c r="H401" s="1" t="s">
        <v>1641</v>
      </c>
    </row>
    <row r="402" spans="1:8" x14ac:dyDescent="0.35">
      <c r="A402" s="1" t="s">
        <v>122</v>
      </c>
      <c r="B402" s="1" t="s">
        <v>1720</v>
      </c>
      <c r="C402" s="1" t="s">
        <v>521</v>
      </c>
      <c r="D402" s="1" t="s">
        <v>1721</v>
      </c>
      <c r="E402" s="1" t="s">
        <v>1722</v>
      </c>
      <c r="F402" s="1" t="s">
        <v>524</v>
      </c>
      <c r="G402" s="1">
        <v>38329</v>
      </c>
      <c r="H402" s="1" t="s">
        <v>525</v>
      </c>
    </row>
    <row r="403" spans="1:8" x14ac:dyDescent="0.35">
      <c r="A403" s="1" t="s">
        <v>1723</v>
      </c>
      <c r="B403" s="1" t="s">
        <v>1724</v>
      </c>
      <c r="C403" s="1" t="s">
        <v>521</v>
      </c>
      <c r="D403" s="1" t="s">
        <v>1725</v>
      </c>
      <c r="E403" s="1" t="s">
        <v>1722</v>
      </c>
      <c r="F403" s="1" t="s">
        <v>524</v>
      </c>
      <c r="G403" s="1">
        <v>38329</v>
      </c>
      <c r="H403" s="1" t="s">
        <v>525</v>
      </c>
    </row>
    <row r="404" spans="1:8" x14ac:dyDescent="0.35">
      <c r="A404" s="1" t="s">
        <v>1726</v>
      </c>
      <c r="B404" s="1" t="s">
        <v>1727</v>
      </c>
      <c r="C404" s="1" t="s">
        <v>521</v>
      </c>
      <c r="D404" s="1" t="s">
        <v>1728</v>
      </c>
      <c r="E404" s="1" t="s">
        <v>1729</v>
      </c>
      <c r="F404" s="1" t="s">
        <v>524</v>
      </c>
      <c r="G404" s="1">
        <v>38363</v>
      </c>
      <c r="H404" s="1" t="s">
        <v>525</v>
      </c>
    </row>
    <row r="405" spans="1:8" x14ac:dyDescent="0.35">
      <c r="A405" s="1" t="s">
        <v>1730</v>
      </c>
      <c r="B405" s="1" t="s">
        <v>1731</v>
      </c>
      <c r="C405" s="1" t="s">
        <v>521</v>
      </c>
      <c r="D405" s="1" t="s">
        <v>1732</v>
      </c>
      <c r="E405" s="1" t="s">
        <v>1729</v>
      </c>
      <c r="F405" s="1" t="s">
        <v>524</v>
      </c>
      <c r="G405" s="1">
        <v>38363</v>
      </c>
      <c r="H405" s="1" t="s">
        <v>525</v>
      </c>
    </row>
    <row r="406" spans="1:8" x14ac:dyDescent="0.35">
      <c r="A406" s="1" t="s">
        <v>124</v>
      </c>
      <c r="B406" s="1" t="s">
        <v>1733</v>
      </c>
      <c r="C406" s="1" t="s">
        <v>521</v>
      </c>
      <c r="D406" s="1" t="s">
        <v>1734</v>
      </c>
      <c r="E406" s="1" t="s">
        <v>1735</v>
      </c>
      <c r="F406" s="1" t="s">
        <v>524</v>
      </c>
      <c r="G406" s="1">
        <v>37166</v>
      </c>
      <c r="H406" s="1" t="s">
        <v>525</v>
      </c>
    </row>
    <row r="407" spans="1:8" x14ac:dyDescent="0.35">
      <c r="A407" s="1" t="s">
        <v>1736</v>
      </c>
      <c r="B407" s="1" t="s">
        <v>1737</v>
      </c>
      <c r="C407" s="1" t="s">
        <v>521</v>
      </c>
      <c r="D407" s="1" t="s">
        <v>1738</v>
      </c>
      <c r="E407" s="1" t="s">
        <v>1735</v>
      </c>
      <c r="F407" s="1" t="s">
        <v>524</v>
      </c>
      <c r="G407" s="1">
        <v>37166</v>
      </c>
      <c r="H407" s="1" t="s">
        <v>525</v>
      </c>
    </row>
    <row r="408" spans="1:8" x14ac:dyDescent="0.35">
      <c r="A408" s="1" t="s">
        <v>1739</v>
      </c>
      <c r="B408" s="1" t="s">
        <v>1740</v>
      </c>
      <c r="C408" s="1" t="s">
        <v>521</v>
      </c>
      <c r="D408" s="1" t="s">
        <v>1741</v>
      </c>
      <c r="E408" s="1" t="s">
        <v>1735</v>
      </c>
      <c r="F408" s="1" t="s">
        <v>524</v>
      </c>
      <c r="G408" s="1">
        <v>37166</v>
      </c>
      <c r="H408" s="1" t="s">
        <v>525</v>
      </c>
    </row>
    <row r="409" spans="1:8" x14ac:dyDescent="0.35">
      <c r="A409" s="1" t="s">
        <v>1742</v>
      </c>
      <c r="B409" s="1" t="s">
        <v>1743</v>
      </c>
      <c r="C409" s="1" t="s">
        <v>521</v>
      </c>
      <c r="D409" s="1" t="s">
        <v>1744</v>
      </c>
      <c r="E409" s="1" t="s">
        <v>1735</v>
      </c>
      <c r="F409" s="1" t="s">
        <v>524</v>
      </c>
      <c r="G409" s="1">
        <v>37166</v>
      </c>
      <c r="H409" s="1" t="s">
        <v>525</v>
      </c>
    </row>
    <row r="410" spans="1:8" x14ac:dyDescent="0.35">
      <c r="A410" s="1" t="s">
        <v>1745</v>
      </c>
      <c r="B410" s="1" t="s">
        <v>1746</v>
      </c>
      <c r="C410" s="1" t="s">
        <v>521</v>
      </c>
      <c r="D410" s="1" t="s">
        <v>1747</v>
      </c>
      <c r="E410" s="1" t="s">
        <v>1748</v>
      </c>
      <c r="F410" s="1" t="s">
        <v>524</v>
      </c>
      <c r="G410" s="1">
        <v>37059</v>
      </c>
      <c r="H410" s="1" t="s">
        <v>525</v>
      </c>
    </row>
    <row r="411" spans="1:8" x14ac:dyDescent="0.35">
      <c r="A411" s="1" t="s">
        <v>1749</v>
      </c>
      <c r="B411" s="1" t="s">
        <v>1750</v>
      </c>
      <c r="C411" s="1" t="s">
        <v>521</v>
      </c>
      <c r="D411" s="1" t="s">
        <v>1751</v>
      </c>
      <c r="E411" s="1" t="s">
        <v>1752</v>
      </c>
      <c r="F411" s="1" t="s">
        <v>524</v>
      </c>
      <c r="G411" s="1">
        <v>37029</v>
      </c>
      <c r="H411" s="1" t="s">
        <v>525</v>
      </c>
    </row>
    <row r="412" spans="1:8" x14ac:dyDescent="0.35">
      <c r="A412" s="1" t="s">
        <v>1753</v>
      </c>
      <c r="B412" s="1" t="s">
        <v>1754</v>
      </c>
      <c r="C412" s="1" t="s">
        <v>521</v>
      </c>
      <c r="D412" s="1" t="s">
        <v>1755</v>
      </c>
      <c r="E412" s="1" t="s">
        <v>1756</v>
      </c>
      <c r="F412" s="1" t="s">
        <v>524</v>
      </c>
      <c r="G412" s="1">
        <v>37036</v>
      </c>
      <c r="H412" s="1" t="s">
        <v>525</v>
      </c>
    </row>
    <row r="413" spans="1:8" x14ac:dyDescent="0.35">
      <c r="A413" s="1" t="s">
        <v>1757</v>
      </c>
      <c r="B413" s="1" t="s">
        <v>1758</v>
      </c>
      <c r="C413" s="1" t="s">
        <v>521</v>
      </c>
      <c r="D413" s="1" t="s">
        <v>1759</v>
      </c>
      <c r="E413" s="1" t="s">
        <v>1760</v>
      </c>
      <c r="F413" s="1" t="s">
        <v>524</v>
      </c>
      <c r="G413" s="1">
        <v>37055</v>
      </c>
      <c r="H413" s="1" t="s">
        <v>525</v>
      </c>
    </row>
    <row r="414" spans="1:8" x14ac:dyDescent="0.35">
      <c r="A414" s="1" t="s">
        <v>1761</v>
      </c>
      <c r="B414" s="1" t="s">
        <v>1762</v>
      </c>
      <c r="C414" s="1" t="s">
        <v>521</v>
      </c>
      <c r="D414" s="1" t="s">
        <v>1763</v>
      </c>
      <c r="E414" s="1" t="s">
        <v>1756</v>
      </c>
      <c r="F414" s="1" t="s">
        <v>524</v>
      </c>
      <c r="G414" s="1">
        <v>37036</v>
      </c>
      <c r="H414" s="1" t="s">
        <v>525</v>
      </c>
    </row>
    <row r="415" spans="1:8" x14ac:dyDescent="0.35">
      <c r="A415" s="1" t="s">
        <v>1764</v>
      </c>
      <c r="B415" s="1" t="s">
        <v>1765</v>
      </c>
      <c r="C415" s="1" t="s">
        <v>521</v>
      </c>
      <c r="D415" s="1" t="s">
        <v>1766</v>
      </c>
      <c r="E415" s="1" t="s">
        <v>1756</v>
      </c>
      <c r="F415" s="1" t="s">
        <v>524</v>
      </c>
      <c r="G415" s="1">
        <v>37036</v>
      </c>
      <c r="H415" s="1" t="s">
        <v>525</v>
      </c>
    </row>
    <row r="416" spans="1:8" x14ac:dyDescent="0.35">
      <c r="A416" s="1" t="s">
        <v>126</v>
      </c>
      <c r="B416" s="1" t="s">
        <v>1767</v>
      </c>
      <c r="C416" s="1" t="s">
        <v>521</v>
      </c>
      <c r="D416" s="1" t="s">
        <v>1768</v>
      </c>
      <c r="E416" s="1" t="s">
        <v>1756</v>
      </c>
      <c r="F416" s="1" t="s">
        <v>524</v>
      </c>
      <c r="G416" s="1">
        <v>37036</v>
      </c>
      <c r="H416" s="1" t="s">
        <v>525</v>
      </c>
    </row>
    <row r="417" spans="1:8" x14ac:dyDescent="0.35">
      <c r="A417" s="1" t="s">
        <v>1769</v>
      </c>
      <c r="B417" s="1" t="s">
        <v>1770</v>
      </c>
      <c r="C417" s="1" t="s">
        <v>521</v>
      </c>
      <c r="D417" s="1" t="s">
        <v>1771</v>
      </c>
      <c r="E417" s="1" t="s">
        <v>1760</v>
      </c>
      <c r="F417" s="1" t="s">
        <v>524</v>
      </c>
      <c r="G417" s="1">
        <v>37055</v>
      </c>
      <c r="H417" s="1" t="s">
        <v>525</v>
      </c>
    </row>
    <row r="418" spans="1:8" x14ac:dyDescent="0.35">
      <c r="A418" s="1" t="s">
        <v>1772</v>
      </c>
      <c r="B418" s="1" t="s">
        <v>1773</v>
      </c>
      <c r="C418" s="1" t="s">
        <v>521</v>
      </c>
      <c r="D418" s="1" t="s">
        <v>1774</v>
      </c>
      <c r="E418" s="1" t="s">
        <v>1760</v>
      </c>
      <c r="F418" s="1" t="s">
        <v>524</v>
      </c>
      <c r="G418" s="1">
        <v>37055</v>
      </c>
      <c r="H418" s="1" t="s">
        <v>525</v>
      </c>
    </row>
    <row r="419" spans="1:8" x14ac:dyDescent="0.35">
      <c r="A419" s="1" t="s">
        <v>128</v>
      </c>
      <c r="B419" s="1" t="s">
        <v>1775</v>
      </c>
      <c r="C419" s="1" t="s">
        <v>521</v>
      </c>
      <c r="D419" s="1" t="s">
        <v>1776</v>
      </c>
      <c r="E419" s="1" t="s">
        <v>1760</v>
      </c>
      <c r="F419" s="1" t="s">
        <v>524</v>
      </c>
      <c r="G419" s="1">
        <v>37055</v>
      </c>
      <c r="H419" s="1" t="s">
        <v>525</v>
      </c>
    </row>
    <row r="420" spans="1:8" x14ac:dyDescent="0.35">
      <c r="A420" s="1" t="s">
        <v>1777</v>
      </c>
      <c r="B420" s="1" t="s">
        <v>1778</v>
      </c>
      <c r="C420" s="1" t="s">
        <v>521</v>
      </c>
      <c r="D420" s="1" t="s">
        <v>1779</v>
      </c>
      <c r="E420" s="1" t="s">
        <v>1760</v>
      </c>
      <c r="F420" s="1" t="s">
        <v>524</v>
      </c>
      <c r="G420" s="1">
        <v>37055</v>
      </c>
      <c r="H420" s="1" t="s">
        <v>525</v>
      </c>
    </row>
    <row r="421" spans="1:8" x14ac:dyDescent="0.35">
      <c r="A421" s="1" t="s">
        <v>1780</v>
      </c>
      <c r="B421" s="1" t="s">
        <v>1781</v>
      </c>
      <c r="C421" s="1" t="s">
        <v>521</v>
      </c>
      <c r="D421" s="1" t="s">
        <v>1782</v>
      </c>
      <c r="E421" s="1" t="s">
        <v>1760</v>
      </c>
      <c r="F421" s="1" t="s">
        <v>524</v>
      </c>
      <c r="G421" s="1">
        <v>37055</v>
      </c>
      <c r="H421" s="1" t="s">
        <v>525</v>
      </c>
    </row>
    <row r="422" spans="1:8" x14ac:dyDescent="0.35">
      <c r="A422" s="1" t="s">
        <v>1783</v>
      </c>
      <c r="B422" s="1" t="s">
        <v>1784</v>
      </c>
      <c r="C422" s="1" t="s">
        <v>521</v>
      </c>
      <c r="D422" s="1" t="s">
        <v>1785</v>
      </c>
      <c r="E422" s="1" t="s">
        <v>1760</v>
      </c>
      <c r="F422" s="1" t="s">
        <v>524</v>
      </c>
      <c r="G422" s="1">
        <v>37055</v>
      </c>
      <c r="H422" s="1" t="s">
        <v>525</v>
      </c>
    </row>
    <row r="423" spans="1:8" x14ac:dyDescent="0.35">
      <c r="A423" s="1" t="s">
        <v>1786</v>
      </c>
      <c r="B423" s="1" t="s">
        <v>1787</v>
      </c>
      <c r="C423" s="1" t="s">
        <v>521</v>
      </c>
      <c r="D423" s="1" t="s">
        <v>1788</v>
      </c>
      <c r="E423" s="1" t="s">
        <v>1789</v>
      </c>
      <c r="F423" s="1" t="s">
        <v>524</v>
      </c>
      <c r="G423" s="1">
        <v>37181</v>
      </c>
      <c r="H423" s="1" t="s">
        <v>525</v>
      </c>
    </row>
    <row r="424" spans="1:8" x14ac:dyDescent="0.35">
      <c r="A424" s="1" t="s">
        <v>1790</v>
      </c>
      <c r="B424" s="1" t="s">
        <v>1791</v>
      </c>
      <c r="C424" s="1" t="s">
        <v>521</v>
      </c>
      <c r="D424" s="1" t="s">
        <v>1792</v>
      </c>
      <c r="E424" s="1" t="s">
        <v>1793</v>
      </c>
      <c r="F424" s="1" t="s">
        <v>524</v>
      </c>
      <c r="G424" s="1">
        <v>37187</v>
      </c>
      <c r="H424" s="1" t="s">
        <v>525</v>
      </c>
    </row>
    <row r="425" spans="1:8" x14ac:dyDescent="0.35">
      <c r="A425" s="1" t="s">
        <v>1794</v>
      </c>
      <c r="B425" s="1" t="s">
        <v>1795</v>
      </c>
      <c r="C425" s="1" t="s">
        <v>521</v>
      </c>
      <c r="D425" s="1" t="s">
        <v>1796</v>
      </c>
      <c r="E425" s="1" t="s">
        <v>1793</v>
      </c>
      <c r="F425" s="1" t="s">
        <v>524</v>
      </c>
      <c r="G425" s="1">
        <v>37187</v>
      </c>
      <c r="H425" s="1" t="s">
        <v>525</v>
      </c>
    </row>
    <row r="426" spans="1:8" x14ac:dyDescent="0.35">
      <c r="A426" s="1" t="s">
        <v>1797</v>
      </c>
      <c r="B426" s="1" t="s">
        <v>1798</v>
      </c>
      <c r="C426" s="1" t="s">
        <v>521</v>
      </c>
      <c r="D426" s="1" t="s">
        <v>1799</v>
      </c>
      <c r="E426" s="1" t="s">
        <v>1800</v>
      </c>
      <c r="F426" s="1" t="s">
        <v>524</v>
      </c>
      <c r="G426" s="1">
        <v>38059</v>
      </c>
      <c r="H426" s="1" t="s">
        <v>525</v>
      </c>
    </row>
    <row r="427" spans="1:8" x14ac:dyDescent="0.35">
      <c r="A427" s="1" t="s">
        <v>129</v>
      </c>
      <c r="B427" s="1" t="s">
        <v>1801</v>
      </c>
      <c r="C427" s="1" t="s">
        <v>521</v>
      </c>
      <c r="D427" s="1" t="s">
        <v>1802</v>
      </c>
      <c r="E427" s="1" t="s">
        <v>1800</v>
      </c>
      <c r="F427" s="1" t="s">
        <v>524</v>
      </c>
      <c r="G427" s="1">
        <v>38059</v>
      </c>
      <c r="H427" s="1" t="s">
        <v>525</v>
      </c>
    </row>
    <row r="428" spans="1:8" x14ac:dyDescent="0.35">
      <c r="A428" s="1" t="s">
        <v>1803</v>
      </c>
      <c r="B428" s="1" t="s">
        <v>1804</v>
      </c>
      <c r="C428" s="1" t="s">
        <v>521</v>
      </c>
      <c r="D428" s="1" t="s">
        <v>1805</v>
      </c>
      <c r="E428" s="1" t="s">
        <v>132</v>
      </c>
      <c r="F428" s="1" t="s">
        <v>524</v>
      </c>
      <c r="G428" s="1">
        <v>38024</v>
      </c>
      <c r="H428" s="1" t="s">
        <v>525</v>
      </c>
    </row>
    <row r="429" spans="1:8" x14ac:dyDescent="0.35">
      <c r="A429" s="1" t="s">
        <v>1806</v>
      </c>
      <c r="B429" s="1" t="s">
        <v>1807</v>
      </c>
      <c r="C429" s="1" t="s">
        <v>521</v>
      </c>
      <c r="D429" s="1" t="s">
        <v>1808</v>
      </c>
      <c r="E429" s="1" t="s">
        <v>1809</v>
      </c>
      <c r="F429" s="1" t="s">
        <v>524</v>
      </c>
      <c r="G429" s="1">
        <v>38030</v>
      </c>
      <c r="H429" s="1" t="s">
        <v>525</v>
      </c>
    </row>
    <row r="430" spans="1:8" x14ac:dyDescent="0.35">
      <c r="A430" s="1" t="s">
        <v>1810</v>
      </c>
      <c r="B430" s="1" t="s">
        <v>1811</v>
      </c>
      <c r="C430" s="1" t="s">
        <v>521</v>
      </c>
      <c r="D430" s="1" t="s">
        <v>1812</v>
      </c>
      <c r="E430" s="1" t="s">
        <v>132</v>
      </c>
      <c r="F430" s="1" t="s">
        <v>524</v>
      </c>
      <c r="G430" s="1">
        <v>38024</v>
      </c>
      <c r="H430" s="1" t="s">
        <v>525</v>
      </c>
    </row>
    <row r="431" spans="1:8" x14ac:dyDescent="0.35">
      <c r="A431" s="1" t="s">
        <v>1813</v>
      </c>
      <c r="B431" s="1" t="s">
        <v>1814</v>
      </c>
      <c r="C431" s="1" t="s">
        <v>521</v>
      </c>
      <c r="D431" s="1" t="s">
        <v>1815</v>
      </c>
      <c r="E431" s="1" t="s">
        <v>1800</v>
      </c>
      <c r="F431" s="1" t="s">
        <v>524</v>
      </c>
      <c r="G431" s="1">
        <v>38059</v>
      </c>
      <c r="H431" s="1" t="s">
        <v>525</v>
      </c>
    </row>
    <row r="432" spans="1:8" x14ac:dyDescent="0.35">
      <c r="A432" s="1" t="s">
        <v>1816</v>
      </c>
      <c r="B432" s="1" t="s">
        <v>1817</v>
      </c>
      <c r="C432" s="1" t="s">
        <v>521</v>
      </c>
      <c r="D432" s="1" t="s">
        <v>1818</v>
      </c>
      <c r="E432" s="1" t="s">
        <v>132</v>
      </c>
      <c r="F432" s="1" t="s">
        <v>524</v>
      </c>
      <c r="G432" s="1">
        <v>38024</v>
      </c>
      <c r="H432" s="1" t="s">
        <v>525</v>
      </c>
    </row>
    <row r="433" spans="1:8" x14ac:dyDescent="0.35">
      <c r="A433" s="1" t="s">
        <v>1819</v>
      </c>
      <c r="B433" s="1" t="s">
        <v>1820</v>
      </c>
      <c r="C433" s="1" t="s">
        <v>521</v>
      </c>
      <c r="D433" s="1" t="s">
        <v>1821</v>
      </c>
      <c r="E433" s="1" t="s">
        <v>1822</v>
      </c>
      <c r="F433" s="1" t="s">
        <v>524</v>
      </c>
      <c r="G433" s="1">
        <v>38259</v>
      </c>
      <c r="H433" s="1" t="s">
        <v>525</v>
      </c>
    </row>
    <row r="434" spans="1:8" x14ac:dyDescent="0.35">
      <c r="A434" s="1" t="s">
        <v>1823</v>
      </c>
      <c r="B434" s="1" t="s">
        <v>1824</v>
      </c>
      <c r="C434" s="1" t="s">
        <v>521</v>
      </c>
      <c r="D434" s="1" t="s">
        <v>1825</v>
      </c>
      <c r="E434" s="1" t="s">
        <v>132</v>
      </c>
      <c r="F434" s="1" t="s">
        <v>524</v>
      </c>
      <c r="G434" s="1">
        <v>38024</v>
      </c>
      <c r="H434" s="1" t="s">
        <v>525</v>
      </c>
    </row>
    <row r="435" spans="1:8" x14ac:dyDescent="0.35">
      <c r="A435" s="1" t="s">
        <v>131</v>
      </c>
      <c r="B435" s="1" t="s">
        <v>1826</v>
      </c>
      <c r="C435" s="1" t="s">
        <v>521</v>
      </c>
      <c r="D435" s="1" t="s">
        <v>1827</v>
      </c>
      <c r="E435" s="1" t="s">
        <v>132</v>
      </c>
      <c r="F435" s="1" t="s">
        <v>524</v>
      </c>
      <c r="G435" s="1">
        <v>38024</v>
      </c>
      <c r="H435" s="1" t="s">
        <v>525</v>
      </c>
    </row>
    <row r="436" spans="1:8" x14ac:dyDescent="0.35">
      <c r="A436" s="1" t="s">
        <v>1828</v>
      </c>
      <c r="B436" s="1" t="s">
        <v>1829</v>
      </c>
      <c r="C436" s="1" t="s">
        <v>521</v>
      </c>
      <c r="D436" s="1" t="s">
        <v>1830</v>
      </c>
      <c r="E436" s="1" t="s">
        <v>132</v>
      </c>
      <c r="F436" s="1" t="s">
        <v>524</v>
      </c>
      <c r="G436" s="1">
        <v>38024</v>
      </c>
      <c r="H436" s="1" t="s">
        <v>525</v>
      </c>
    </row>
    <row r="437" spans="1:8" x14ac:dyDescent="0.35">
      <c r="A437" s="1" t="s">
        <v>1831</v>
      </c>
      <c r="B437" s="1" t="s">
        <v>1832</v>
      </c>
      <c r="C437" s="1" t="s">
        <v>521</v>
      </c>
      <c r="D437" s="1" t="s">
        <v>1833</v>
      </c>
      <c r="E437" s="1" t="s">
        <v>132</v>
      </c>
      <c r="F437" s="1" t="s">
        <v>524</v>
      </c>
      <c r="G437" s="1">
        <v>38024</v>
      </c>
      <c r="H437" s="1" t="s">
        <v>525</v>
      </c>
    </row>
    <row r="438" spans="1:8" x14ac:dyDescent="0.35">
      <c r="A438" s="1" t="s">
        <v>1834</v>
      </c>
      <c r="B438" s="1" t="s">
        <v>1835</v>
      </c>
      <c r="C438" s="1" t="s">
        <v>521</v>
      </c>
      <c r="D438" s="1" t="s">
        <v>1836</v>
      </c>
      <c r="E438" s="1" t="s">
        <v>1837</v>
      </c>
      <c r="F438" s="1" t="s">
        <v>524</v>
      </c>
      <c r="G438" s="1">
        <v>38068</v>
      </c>
      <c r="H438" s="1" t="s">
        <v>525</v>
      </c>
    </row>
    <row r="439" spans="1:8" x14ac:dyDescent="0.35">
      <c r="A439" s="1" t="s">
        <v>133</v>
      </c>
      <c r="B439" s="1" t="s">
        <v>1838</v>
      </c>
      <c r="C439" s="1" t="s">
        <v>521</v>
      </c>
      <c r="D439" s="1" t="s">
        <v>1839</v>
      </c>
      <c r="E439" s="1" t="s">
        <v>1837</v>
      </c>
      <c r="F439" s="1" t="s">
        <v>524</v>
      </c>
      <c r="G439" s="1">
        <v>38068</v>
      </c>
      <c r="H439" s="1" t="s">
        <v>525</v>
      </c>
    </row>
    <row r="440" spans="1:8" x14ac:dyDescent="0.35">
      <c r="A440" s="1" t="s">
        <v>1840</v>
      </c>
      <c r="B440" s="1" t="s">
        <v>1841</v>
      </c>
      <c r="C440" s="1" t="s">
        <v>521</v>
      </c>
      <c r="D440" s="1" t="s">
        <v>1842</v>
      </c>
      <c r="E440" s="1" t="s">
        <v>1843</v>
      </c>
      <c r="F440" s="1" t="s">
        <v>524</v>
      </c>
      <c r="G440" s="1">
        <v>38057</v>
      </c>
      <c r="H440" s="1" t="s">
        <v>525</v>
      </c>
    </row>
    <row r="441" spans="1:8" x14ac:dyDescent="0.35">
      <c r="A441" s="1" t="s">
        <v>1844</v>
      </c>
      <c r="B441" s="1" t="s">
        <v>1845</v>
      </c>
      <c r="C441" s="1" t="s">
        <v>521</v>
      </c>
      <c r="D441" s="1" t="s">
        <v>1846</v>
      </c>
      <c r="E441" s="1" t="s">
        <v>1847</v>
      </c>
      <c r="F441" s="1" t="s">
        <v>524</v>
      </c>
      <c r="G441" s="1">
        <v>38060</v>
      </c>
      <c r="H441" s="1" t="s">
        <v>525</v>
      </c>
    </row>
    <row r="442" spans="1:8" x14ac:dyDescent="0.35">
      <c r="A442" s="1" t="s">
        <v>1848</v>
      </c>
      <c r="B442" s="1" t="s">
        <v>1849</v>
      </c>
      <c r="C442" s="1" t="s">
        <v>521</v>
      </c>
      <c r="D442" s="1" t="s">
        <v>1850</v>
      </c>
      <c r="E442" s="1" t="s">
        <v>1851</v>
      </c>
      <c r="F442" s="1" t="s">
        <v>524</v>
      </c>
      <c r="G442" s="1">
        <v>38076</v>
      </c>
      <c r="H442" s="1" t="s">
        <v>525</v>
      </c>
    </row>
    <row r="443" spans="1:8" x14ac:dyDescent="0.35">
      <c r="A443" s="1" t="s">
        <v>1852</v>
      </c>
      <c r="B443" s="1" t="s">
        <v>1853</v>
      </c>
      <c r="C443" s="1" t="s">
        <v>521</v>
      </c>
      <c r="D443" s="1" t="s">
        <v>1854</v>
      </c>
      <c r="E443" s="1" t="s">
        <v>1847</v>
      </c>
      <c r="F443" s="1" t="s">
        <v>524</v>
      </c>
      <c r="G443" s="1">
        <v>38060</v>
      </c>
      <c r="H443" s="1" t="s">
        <v>525</v>
      </c>
    </row>
    <row r="444" spans="1:8" x14ac:dyDescent="0.35">
      <c r="A444" s="1" t="s">
        <v>1855</v>
      </c>
      <c r="B444" s="1" t="s">
        <v>1856</v>
      </c>
      <c r="C444" s="1" t="s">
        <v>521</v>
      </c>
      <c r="D444" s="1" t="s">
        <v>1857</v>
      </c>
      <c r="E444" s="1" t="s">
        <v>1837</v>
      </c>
      <c r="F444" s="1" t="s">
        <v>524</v>
      </c>
      <c r="G444" s="1">
        <v>38068</v>
      </c>
      <c r="H444" s="1" t="s">
        <v>525</v>
      </c>
    </row>
    <row r="445" spans="1:8" x14ac:dyDescent="0.35">
      <c r="A445" s="1" t="s">
        <v>1858</v>
      </c>
      <c r="B445" s="1" t="s">
        <v>1859</v>
      </c>
      <c r="C445" s="1" t="s">
        <v>521</v>
      </c>
      <c r="D445" s="1" t="s">
        <v>1860</v>
      </c>
      <c r="E445" s="1" t="s">
        <v>1861</v>
      </c>
      <c r="F445" s="1" t="s">
        <v>524</v>
      </c>
      <c r="G445" s="1">
        <v>38504</v>
      </c>
      <c r="H445" s="1" t="s">
        <v>525</v>
      </c>
    </row>
    <row r="446" spans="1:8" x14ac:dyDescent="0.35">
      <c r="A446" s="1" t="s">
        <v>135</v>
      </c>
      <c r="B446" s="1" t="s">
        <v>1862</v>
      </c>
      <c r="C446" s="1" t="s">
        <v>521</v>
      </c>
      <c r="D446" s="1" t="s">
        <v>1863</v>
      </c>
      <c r="E446" s="1" t="s">
        <v>1864</v>
      </c>
      <c r="F446" s="1" t="s">
        <v>524</v>
      </c>
      <c r="G446" s="1">
        <v>38553</v>
      </c>
      <c r="H446" s="1" t="s">
        <v>525</v>
      </c>
    </row>
    <row r="447" spans="1:8" x14ac:dyDescent="0.35">
      <c r="A447" s="1" t="s">
        <v>1865</v>
      </c>
      <c r="B447" s="1" t="s">
        <v>1866</v>
      </c>
      <c r="C447" s="1" t="s">
        <v>521</v>
      </c>
      <c r="D447" s="1" t="s">
        <v>1867</v>
      </c>
      <c r="E447" s="1" t="s">
        <v>1868</v>
      </c>
      <c r="F447" s="1" t="s">
        <v>524</v>
      </c>
      <c r="G447" s="1">
        <v>38565</v>
      </c>
      <c r="H447" s="1" t="s">
        <v>525</v>
      </c>
    </row>
    <row r="448" spans="1:8" x14ac:dyDescent="0.35">
      <c r="A448" s="1" t="s">
        <v>1869</v>
      </c>
      <c r="B448" s="1" t="s">
        <v>1870</v>
      </c>
      <c r="C448" s="1" t="s">
        <v>521</v>
      </c>
      <c r="D448" s="1" t="s">
        <v>1871</v>
      </c>
      <c r="E448" s="1" t="s">
        <v>1872</v>
      </c>
      <c r="F448" s="1" t="s">
        <v>524</v>
      </c>
      <c r="G448" s="1">
        <v>38556</v>
      </c>
      <c r="H448" s="1" t="s">
        <v>525</v>
      </c>
    </row>
    <row r="449" spans="1:8" x14ac:dyDescent="0.35">
      <c r="A449" s="1" t="s">
        <v>1873</v>
      </c>
      <c r="B449" s="1" t="s">
        <v>1874</v>
      </c>
      <c r="C449" s="1" t="s">
        <v>521</v>
      </c>
      <c r="D449" s="1" t="s">
        <v>1875</v>
      </c>
      <c r="E449" s="1" t="s">
        <v>1872</v>
      </c>
      <c r="F449" s="1" t="s">
        <v>524</v>
      </c>
      <c r="G449" s="1">
        <v>38556</v>
      </c>
      <c r="H449" s="1" t="s">
        <v>525</v>
      </c>
    </row>
    <row r="450" spans="1:8" x14ac:dyDescent="0.35">
      <c r="A450" s="1" t="s">
        <v>1876</v>
      </c>
      <c r="B450" s="1" t="s">
        <v>1877</v>
      </c>
      <c r="C450" s="1" t="s">
        <v>521</v>
      </c>
      <c r="D450" s="1" t="s">
        <v>1878</v>
      </c>
      <c r="E450" s="1" t="s">
        <v>1879</v>
      </c>
      <c r="F450" s="1" t="s">
        <v>524</v>
      </c>
      <c r="G450" s="1">
        <v>37398</v>
      </c>
      <c r="H450" s="1" t="s">
        <v>525</v>
      </c>
    </row>
    <row r="451" spans="1:8" x14ac:dyDescent="0.35">
      <c r="A451" s="1" t="s">
        <v>1880</v>
      </c>
      <c r="B451" s="1" t="s">
        <v>1881</v>
      </c>
      <c r="C451" s="1" t="s">
        <v>521</v>
      </c>
      <c r="D451" s="1" t="s">
        <v>1882</v>
      </c>
      <c r="E451" s="1" t="s">
        <v>1879</v>
      </c>
      <c r="F451" s="1" t="s">
        <v>524</v>
      </c>
      <c r="G451" s="1">
        <v>37398</v>
      </c>
      <c r="H451" s="1" t="s">
        <v>525</v>
      </c>
    </row>
    <row r="452" spans="1:8" x14ac:dyDescent="0.35">
      <c r="A452" s="1" t="s">
        <v>1883</v>
      </c>
      <c r="B452" s="1" t="s">
        <v>1884</v>
      </c>
      <c r="C452" s="1" t="s">
        <v>521</v>
      </c>
      <c r="D452" s="1" t="s">
        <v>1885</v>
      </c>
      <c r="E452" s="1" t="s">
        <v>1886</v>
      </c>
      <c r="F452" s="1" t="s">
        <v>524</v>
      </c>
      <c r="G452" s="1">
        <v>37318</v>
      </c>
      <c r="H452" s="1" t="s">
        <v>525</v>
      </c>
    </row>
    <row r="453" spans="1:8" x14ac:dyDescent="0.35">
      <c r="A453" s="1" t="s">
        <v>1887</v>
      </c>
      <c r="B453" s="1" t="s">
        <v>1888</v>
      </c>
      <c r="C453" s="1" t="s">
        <v>521</v>
      </c>
      <c r="D453" s="1" t="s">
        <v>1889</v>
      </c>
      <c r="E453" s="1" t="s">
        <v>1890</v>
      </c>
      <c r="F453" s="1" t="s">
        <v>524</v>
      </c>
      <c r="G453" s="1">
        <v>37324</v>
      </c>
      <c r="H453" s="1" t="s">
        <v>525</v>
      </c>
    </row>
    <row r="454" spans="1:8" x14ac:dyDescent="0.35">
      <c r="A454" s="1" t="s">
        <v>137</v>
      </c>
      <c r="B454" s="1" t="s">
        <v>1891</v>
      </c>
      <c r="C454" s="1" t="s">
        <v>521</v>
      </c>
      <c r="D454" s="1" t="s">
        <v>1892</v>
      </c>
      <c r="E454" s="1" t="s">
        <v>1879</v>
      </c>
      <c r="F454" s="1" t="s">
        <v>524</v>
      </c>
      <c r="G454" s="1">
        <v>37398</v>
      </c>
      <c r="H454" s="1" t="s">
        <v>525</v>
      </c>
    </row>
    <row r="455" spans="1:8" x14ac:dyDescent="0.35">
      <c r="A455" s="1" t="s">
        <v>139</v>
      </c>
      <c r="B455" s="1" t="s">
        <v>1893</v>
      </c>
      <c r="C455" s="1" t="s">
        <v>521</v>
      </c>
      <c r="D455" s="1" t="s">
        <v>1894</v>
      </c>
      <c r="E455" s="1" t="s">
        <v>1895</v>
      </c>
      <c r="F455" s="1" t="s">
        <v>524</v>
      </c>
      <c r="G455" s="1">
        <v>37345</v>
      </c>
      <c r="H455" s="1" t="s">
        <v>525</v>
      </c>
    </row>
    <row r="456" spans="1:8" x14ac:dyDescent="0.35">
      <c r="A456" s="1" t="s">
        <v>1896</v>
      </c>
      <c r="B456" s="1" t="s">
        <v>1897</v>
      </c>
      <c r="C456" s="1" t="s">
        <v>521</v>
      </c>
      <c r="D456" s="1" t="s">
        <v>1898</v>
      </c>
      <c r="E456" s="1" t="s">
        <v>1879</v>
      </c>
      <c r="F456" s="1" t="s">
        <v>524</v>
      </c>
      <c r="G456" s="1">
        <v>37398</v>
      </c>
      <c r="H456" s="1" t="s">
        <v>525</v>
      </c>
    </row>
    <row r="457" spans="1:8" x14ac:dyDescent="0.35">
      <c r="A457" s="1" t="s">
        <v>1899</v>
      </c>
      <c r="B457" s="1" t="s">
        <v>1900</v>
      </c>
      <c r="C457" s="1" t="s">
        <v>521</v>
      </c>
      <c r="D457" s="1" t="s">
        <v>1901</v>
      </c>
      <c r="E457" s="1" t="s">
        <v>87</v>
      </c>
      <c r="F457" s="1" t="s">
        <v>524</v>
      </c>
      <c r="G457" s="1">
        <v>37388</v>
      </c>
      <c r="H457" s="1" t="s">
        <v>525</v>
      </c>
    </row>
    <row r="458" spans="1:8" x14ac:dyDescent="0.35">
      <c r="A458" s="1" t="s">
        <v>1902</v>
      </c>
      <c r="B458" s="1" t="s">
        <v>1903</v>
      </c>
      <c r="C458" s="1" t="s">
        <v>521</v>
      </c>
      <c r="D458" s="1" t="s">
        <v>1904</v>
      </c>
      <c r="E458" s="1" t="s">
        <v>1905</v>
      </c>
      <c r="F458" s="1" t="s">
        <v>524</v>
      </c>
      <c r="G458" s="1">
        <v>37330</v>
      </c>
      <c r="H458" s="1" t="s">
        <v>525</v>
      </c>
    </row>
    <row r="459" spans="1:8" x14ac:dyDescent="0.35">
      <c r="A459" s="1" t="s">
        <v>1906</v>
      </c>
      <c r="B459" s="1" t="s">
        <v>1907</v>
      </c>
      <c r="C459" s="1" t="s">
        <v>521</v>
      </c>
      <c r="D459" s="1" t="s">
        <v>1908</v>
      </c>
      <c r="E459" s="1" t="s">
        <v>1909</v>
      </c>
      <c r="F459" s="1" t="s">
        <v>524</v>
      </c>
      <c r="G459" s="1">
        <v>37375</v>
      </c>
      <c r="H459" s="1" t="s">
        <v>525</v>
      </c>
    </row>
    <row r="460" spans="1:8" x14ac:dyDescent="0.35">
      <c r="A460" s="1" t="s">
        <v>1910</v>
      </c>
      <c r="B460" s="1" t="s">
        <v>1911</v>
      </c>
      <c r="C460" s="1" t="s">
        <v>521</v>
      </c>
      <c r="D460" s="1" t="s">
        <v>1912</v>
      </c>
      <c r="E460" s="1" t="s">
        <v>1886</v>
      </c>
      <c r="F460" s="1" t="s">
        <v>524</v>
      </c>
      <c r="G460" s="1">
        <v>37318</v>
      </c>
      <c r="H460" s="1" t="s">
        <v>525</v>
      </c>
    </row>
    <row r="461" spans="1:8" x14ac:dyDescent="0.35">
      <c r="A461" s="1" t="s">
        <v>140</v>
      </c>
      <c r="B461" s="1" t="s">
        <v>1913</v>
      </c>
      <c r="C461" s="1" t="s">
        <v>521</v>
      </c>
      <c r="D461" s="1" t="s">
        <v>1914</v>
      </c>
      <c r="E461" s="1" t="s">
        <v>1915</v>
      </c>
      <c r="F461" s="1" t="s">
        <v>524</v>
      </c>
      <c r="G461" s="1">
        <v>38343</v>
      </c>
      <c r="H461" s="1" t="s">
        <v>525</v>
      </c>
    </row>
    <row r="462" spans="1:8" x14ac:dyDescent="0.35">
      <c r="A462" s="1" t="s">
        <v>1916</v>
      </c>
      <c r="B462" s="1" t="s">
        <v>1917</v>
      </c>
      <c r="C462" s="1" t="s">
        <v>521</v>
      </c>
      <c r="D462" s="1" t="s">
        <v>1918</v>
      </c>
      <c r="E462" s="1" t="s">
        <v>1915</v>
      </c>
      <c r="F462" s="1" t="s">
        <v>524</v>
      </c>
      <c r="G462" s="1">
        <v>38343</v>
      </c>
      <c r="H462" s="1" t="s">
        <v>525</v>
      </c>
    </row>
    <row r="463" spans="1:8" x14ac:dyDescent="0.35">
      <c r="A463" s="1" t="s">
        <v>1919</v>
      </c>
      <c r="B463" s="1" t="s">
        <v>1920</v>
      </c>
      <c r="C463" s="1" t="s">
        <v>521</v>
      </c>
      <c r="D463" s="1" t="s">
        <v>1921</v>
      </c>
      <c r="E463" s="1" t="s">
        <v>1915</v>
      </c>
      <c r="F463" s="1" t="s">
        <v>524</v>
      </c>
      <c r="G463" s="1">
        <v>38343</v>
      </c>
      <c r="H463" s="1" t="s">
        <v>525</v>
      </c>
    </row>
    <row r="464" spans="1:8" x14ac:dyDescent="0.35">
      <c r="A464" s="1" t="s">
        <v>142</v>
      </c>
      <c r="B464" s="1" t="s">
        <v>1922</v>
      </c>
      <c r="C464" s="1" t="s">
        <v>521</v>
      </c>
      <c r="D464" s="1" t="s">
        <v>1923</v>
      </c>
      <c r="E464" s="1" t="s">
        <v>143</v>
      </c>
      <c r="F464" s="1" t="s">
        <v>524</v>
      </c>
      <c r="G464" s="1">
        <v>38358</v>
      </c>
      <c r="H464" s="1" t="s">
        <v>525</v>
      </c>
    </row>
    <row r="465" spans="1:8" x14ac:dyDescent="0.35">
      <c r="A465" s="1" t="s">
        <v>1924</v>
      </c>
      <c r="B465" s="1" t="s">
        <v>1925</v>
      </c>
      <c r="C465" s="1" t="s">
        <v>521</v>
      </c>
      <c r="D465" s="1" t="s">
        <v>1926</v>
      </c>
      <c r="E465" s="1" t="s">
        <v>143</v>
      </c>
      <c r="F465" s="1" t="s">
        <v>524</v>
      </c>
      <c r="G465" s="1">
        <v>38358</v>
      </c>
      <c r="H465" s="1" t="s">
        <v>525</v>
      </c>
    </row>
    <row r="466" spans="1:8" x14ac:dyDescent="0.35">
      <c r="A466" s="1" t="s">
        <v>1927</v>
      </c>
      <c r="B466" s="1" t="s">
        <v>1928</v>
      </c>
      <c r="C466" s="1" t="s">
        <v>521</v>
      </c>
      <c r="D466" s="1" t="s">
        <v>1929</v>
      </c>
      <c r="E466" s="1" t="s">
        <v>143</v>
      </c>
      <c r="F466" s="1" t="s">
        <v>524</v>
      </c>
      <c r="G466" s="1">
        <v>38358</v>
      </c>
      <c r="H466" s="1" t="s">
        <v>525</v>
      </c>
    </row>
    <row r="467" spans="1:8" x14ac:dyDescent="0.35">
      <c r="A467" s="1" t="s">
        <v>144</v>
      </c>
      <c r="B467" s="1" t="s">
        <v>1930</v>
      </c>
      <c r="C467" s="1" t="s">
        <v>521</v>
      </c>
      <c r="D467" s="1" t="s">
        <v>1931</v>
      </c>
      <c r="E467" s="1" t="s">
        <v>145</v>
      </c>
      <c r="F467" s="1" t="s">
        <v>524</v>
      </c>
      <c r="G467" s="1">
        <v>38382</v>
      </c>
      <c r="H467" s="1" t="s">
        <v>525</v>
      </c>
    </row>
    <row r="468" spans="1:8" x14ac:dyDescent="0.35">
      <c r="A468" s="1" t="s">
        <v>1932</v>
      </c>
      <c r="B468" s="1" t="s">
        <v>1933</v>
      </c>
      <c r="C468" s="1" t="s">
        <v>521</v>
      </c>
      <c r="D468" s="1" t="s">
        <v>1934</v>
      </c>
      <c r="E468" s="1" t="s">
        <v>145</v>
      </c>
      <c r="F468" s="1" t="s">
        <v>524</v>
      </c>
      <c r="G468" s="1">
        <v>38382</v>
      </c>
      <c r="H468" s="1" t="s">
        <v>525</v>
      </c>
    </row>
    <row r="469" spans="1:8" x14ac:dyDescent="0.35">
      <c r="A469" s="1" t="s">
        <v>1935</v>
      </c>
      <c r="B469" s="1" t="s">
        <v>1936</v>
      </c>
      <c r="C469" s="1" t="s">
        <v>521</v>
      </c>
      <c r="D469" s="1" t="s">
        <v>1937</v>
      </c>
      <c r="E469" s="1" t="s">
        <v>145</v>
      </c>
      <c r="F469" s="1" t="s">
        <v>524</v>
      </c>
      <c r="G469" s="1">
        <v>38382</v>
      </c>
      <c r="H469" s="1" t="s">
        <v>525</v>
      </c>
    </row>
    <row r="470" spans="1:8" x14ac:dyDescent="0.35">
      <c r="A470" s="1" t="s">
        <v>146</v>
      </c>
      <c r="B470" s="1" t="s">
        <v>1938</v>
      </c>
      <c r="C470" s="1" t="s">
        <v>521</v>
      </c>
      <c r="D470" s="1" t="s">
        <v>1939</v>
      </c>
      <c r="E470" s="1" t="s">
        <v>147</v>
      </c>
      <c r="F470" s="1" t="s">
        <v>524</v>
      </c>
      <c r="G470" s="1">
        <v>38316</v>
      </c>
      <c r="H470" s="1" t="s">
        <v>525</v>
      </c>
    </row>
    <row r="471" spans="1:8" x14ac:dyDescent="0.35">
      <c r="A471" s="1" t="s">
        <v>1940</v>
      </c>
      <c r="B471" s="1" t="s">
        <v>1941</v>
      </c>
      <c r="C471" s="1" t="s">
        <v>521</v>
      </c>
      <c r="D471" s="1" t="s">
        <v>1939</v>
      </c>
      <c r="E471" s="1" t="s">
        <v>147</v>
      </c>
      <c r="F471" s="1" t="s">
        <v>524</v>
      </c>
      <c r="G471" s="1">
        <v>38316</v>
      </c>
      <c r="H471" s="1" t="s">
        <v>525</v>
      </c>
    </row>
    <row r="472" spans="1:8" x14ac:dyDescent="0.35">
      <c r="A472" s="1" t="s">
        <v>1942</v>
      </c>
      <c r="B472" s="1" t="s">
        <v>1943</v>
      </c>
      <c r="C472" s="1" t="s">
        <v>521</v>
      </c>
      <c r="D472" s="1" t="s">
        <v>1944</v>
      </c>
      <c r="E472" s="1" t="s">
        <v>1945</v>
      </c>
      <c r="F472" s="1" t="s">
        <v>524</v>
      </c>
      <c r="G472" s="1">
        <v>38330</v>
      </c>
      <c r="H472" s="1" t="s">
        <v>525</v>
      </c>
    </row>
    <row r="473" spans="1:8" x14ac:dyDescent="0.35">
      <c r="A473" s="1" t="s">
        <v>148</v>
      </c>
      <c r="B473" s="1" t="s">
        <v>1946</v>
      </c>
      <c r="C473" s="1" t="s">
        <v>521</v>
      </c>
      <c r="D473" s="1" t="s">
        <v>1947</v>
      </c>
      <c r="E473" s="1" t="s">
        <v>1945</v>
      </c>
      <c r="F473" s="1" t="s">
        <v>524</v>
      </c>
      <c r="G473" s="1">
        <v>38330</v>
      </c>
      <c r="H473" s="1" t="s">
        <v>525</v>
      </c>
    </row>
    <row r="474" spans="1:8" x14ac:dyDescent="0.35">
      <c r="A474" s="1" t="s">
        <v>1948</v>
      </c>
      <c r="B474" s="1" t="s">
        <v>1949</v>
      </c>
      <c r="C474" s="1" t="s">
        <v>521</v>
      </c>
      <c r="D474" s="1" t="s">
        <v>1950</v>
      </c>
      <c r="E474" s="1" t="s">
        <v>1951</v>
      </c>
      <c r="F474" s="1" t="s">
        <v>524</v>
      </c>
      <c r="G474" s="1">
        <v>38233</v>
      </c>
      <c r="H474" s="1" t="s">
        <v>525</v>
      </c>
    </row>
    <row r="475" spans="1:8" x14ac:dyDescent="0.35">
      <c r="A475" s="1" t="s">
        <v>150</v>
      </c>
      <c r="B475" s="1" t="s">
        <v>1952</v>
      </c>
      <c r="C475" s="1" t="s">
        <v>521</v>
      </c>
      <c r="D475" s="1" t="s">
        <v>1953</v>
      </c>
      <c r="E475" s="1" t="s">
        <v>1954</v>
      </c>
      <c r="F475" s="1" t="s">
        <v>524</v>
      </c>
      <c r="G475" s="1">
        <v>38355</v>
      </c>
      <c r="H475" s="1" t="s">
        <v>525</v>
      </c>
    </row>
    <row r="476" spans="1:8" x14ac:dyDescent="0.35">
      <c r="A476" s="1" t="s">
        <v>1955</v>
      </c>
      <c r="B476" s="1" t="s">
        <v>1956</v>
      </c>
      <c r="C476" s="1" t="s">
        <v>521</v>
      </c>
      <c r="D476" s="1" t="s">
        <v>1957</v>
      </c>
      <c r="E476" s="1" t="s">
        <v>1954</v>
      </c>
      <c r="F476" s="1" t="s">
        <v>524</v>
      </c>
      <c r="G476" s="1">
        <v>38355</v>
      </c>
      <c r="H476" s="1" t="s">
        <v>525</v>
      </c>
    </row>
    <row r="477" spans="1:8" x14ac:dyDescent="0.35">
      <c r="A477" s="1" t="s">
        <v>1958</v>
      </c>
      <c r="B477" s="1" t="s">
        <v>1959</v>
      </c>
      <c r="C477" s="1" t="s">
        <v>521</v>
      </c>
      <c r="D477" s="1" t="s">
        <v>1960</v>
      </c>
      <c r="E477" s="1" t="s">
        <v>1954</v>
      </c>
      <c r="F477" s="1" t="s">
        <v>524</v>
      </c>
      <c r="G477" s="1">
        <v>38355</v>
      </c>
      <c r="H477" s="1" t="s">
        <v>525</v>
      </c>
    </row>
    <row r="478" spans="1:8" x14ac:dyDescent="0.35">
      <c r="A478" s="1" t="s">
        <v>1961</v>
      </c>
      <c r="B478" s="1" t="s">
        <v>1962</v>
      </c>
      <c r="C478" s="1" t="s">
        <v>521</v>
      </c>
      <c r="D478" s="1" t="s">
        <v>1963</v>
      </c>
      <c r="E478" s="1" t="s">
        <v>1964</v>
      </c>
      <c r="F478" s="1" t="s">
        <v>524</v>
      </c>
      <c r="G478" s="1">
        <v>38369</v>
      </c>
      <c r="H478" s="1" t="s">
        <v>525</v>
      </c>
    </row>
    <row r="479" spans="1:8" x14ac:dyDescent="0.35">
      <c r="A479" s="1" t="s">
        <v>1965</v>
      </c>
      <c r="B479" s="1" t="s">
        <v>1966</v>
      </c>
      <c r="C479" s="1" t="s">
        <v>521</v>
      </c>
      <c r="D479" s="1" t="s">
        <v>1967</v>
      </c>
      <c r="E479" s="1" t="s">
        <v>145</v>
      </c>
      <c r="F479" s="1" t="s">
        <v>524</v>
      </c>
      <c r="G479" s="1">
        <v>38382</v>
      </c>
      <c r="H479" s="1" t="s">
        <v>525</v>
      </c>
    </row>
    <row r="480" spans="1:8" x14ac:dyDescent="0.35">
      <c r="A480" s="1" t="s">
        <v>1968</v>
      </c>
      <c r="B480" s="1" t="s">
        <v>1969</v>
      </c>
      <c r="C480" s="1" t="s">
        <v>521</v>
      </c>
      <c r="D480" s="1" t="s">
        <v>1970</v>
      </c>
      <c r="E480" s="1" t="s">
        <v>1971</v>
      </c>
      <c r="F480" s="1" t="s">
        <v>524</v>
      </c>
      <c r="G480" s="1">
        <v>38389</v>
      </c>
      <c r="H480" s="1" t="s">
        <v>525</v>
      </c>
    </row>
    <row r="481" spans="1:8" x14ac:dyDescent="0.35">
      <c r="A481" s="1" t="s">
        <v>1972</v>
      </c>
      <c r="B481" s="1" t="s">
        <v>1973</v>
      </c>
      <c r="C481" s="1" t="s">
        <v>521</v>
      </c>
      <c r="D481" s="1" t="s">
        <v>1974</v>
      </c>
      <c r="E481" s="1" t="s">
        <v>1975</v>
      </c>
      <c r="F481" s="1" t="s">
        <v>524</v>
      </c>
      <c r="G481" s="1">
        <v>38478</v>
      </c>
      <c r="H481" s="1" t="s">
        <v>525</v>
      </c>
    </row>
    <row r="482" spans="1:8" x14ac:dyDescent="0.35">
      <c r="A482" s="1" t="s">
        <v>1976</v>
      </c>
      <c r="B482" s="1" t="s">
        <v>1977</v>
      </c>
      <c r="C482" s="1" t="s">
        <v>521</v>
      </c>
      <c r="D482" s="1" t="s">
        <v>1978</v>
      </c>
      <c r="E482" s="1" t="s">
        <v>1979</v>
      </c>
      <c r="F482" s="1" t="s">
        <v>524</v>
      </c>
      <c r="G482" s="1">
        <v>38455</v>
      </c>
      <c r="H482" s="1" t="s">
        <v>525</v>
      </c>
    </row>
    <row r="483" spans="1:8" x14ac:dyDescent="0.35">
      <c r="A483" s="1" t="s">
        <v>151</v>
      </c>
      <c r="B483" s="1" t="s">
        <v>1980</v>
      </c>
      <c r="C483" s="1" t="s">
        <v>521</v>
      </c>
      <c r="D483" s="1" t="s">
        <v>1981</v>
      </c>
      <c r="E483" s="1" t="s">
        <v>1975</v>
      </c>
      <c r="F483" s="1" t="s">
        <v>524</v>
      </c>
      <c r="G483" s="1">
        <v>38478</v>
      </c>
      <c r="H483" s="1" t="s">
        <v>525</v>
      </c>
    </row>
    <row r="484" spans="1:8" x14ac:dyDescent="0.35">
      <c r="A484" s="1" t="s">
        <v>1982</v>
      </c>
      <c r="B484" s="1" t="s">
        <v>1983</v>
      </c>
      <c r="C484" s="1" t="s">
        <v>521</v>
      </c>
      <c r="D484" s="1" t="s">
        <v>1984</v>
      </c>
      <c r="E484" s="1" t="s">
        <v>1985</v>
      </c>
      <c r="F484" s="1" t="s">
        <v>524</v>
      </c>
      <c r="G484" s="1">
        <v>38473</v>
      </c>
      <c r="H484" s="1" t="s">
        <v>525</v>
      </c>
    </row>
    <row r="485" spans="1:8" x14ac:dyDescent="0.35">
      <c r="A485" s="1" t="s">
        <v>1986</v>
      </c>
      <c r="B485" s="1" t="s">
        <v>1987</v>
      </c>
      <c r="C485" s="1" t="s">
        <v>521</v>
      </c>
      <c r="D485" s="1" t="s">
        <v>1988</v>
      </c>
      <c r="E485" s="1" t="s">
        <v>1975</v>
      </c>
      <c r="F485" s="1" t="s">
        <v>524</v>
      </c>
      <c r="G485" s="1">
        <v>38478</v>
      </c>
      <c r="H485" s="1" t="s">
        <v>525</v>
      </c>
    </row>
    <row r="486" spans="1:8" x14ac:dyDescent="0.35">
      <c r="A486" s="1" t="s">
        <v>1989</v>
      </c>
      <c r="B486" s="1" t="s">
        <v>1990</v>
      </c>
      <c r="C486" s="1" t="s">
        <v>521</v>
      </c>
      <c r="D486" s="1" t="s">
        <v>1991</v>
      </c>
      <c r="E486" s="1" t="s">
        <v>1992</v>
      </c>
      <c r="F486" s="1" t="s">
        <v>524</v>
      </c>
      <c r="G486" s="1">
        <v>38472</v>
      </c>
      <c r="H486" s="1" t="s">
        <v>525</v>
      </c>
    </row>
    <row r="487" spans="1:8" x14ac:dyDescent="0.35">
      <c r="A487" s="1" t="s">
        <v>153</v>
      </c>
      <c r="B487" s="1" t="s">
        <v>1993</v>
      </c>
      <c r="C487" s="1" t="s">
        <v>521</v>
      </c>
      <c r="D487" s="1" t="s">
        <v>1994</v>
      </c>
      <c r="E487" s="1" t="s">
        <v>1992</v>
      </c>
      <c r="F487" s="1" t="s">
        <v>524</v>
      </c>
      <c r="G487" s="1">
        <v>38472</v>
      </c>
      <c r="H487" s="1" t="s">
        <v>525</v>
      </c>
    </row>
    <row r="488" spans="1:8" x14ac:dyDescent="0.35">
      <c r="A488" s="1" t="s">
        <v>1995</v>
      </c>
      <c r="B488" s="1" t="s">
        <v>1996</v>
      </c>
      <c r="C488" s="1" t="s">
        <v>521</v>
      </c>
      <c r="D488" s="1" t="s">
        <v>1997</v>
      </c>
      <c r="E488" s="1" t="s">
        <v>1975</v>
      </c>
      <c r="F488" s="1" t="s">
        <v>524</v>
      </c>
      <c r="G488" s="1">
        <v>38478</v>
      </c>
      <c r="H488" s="1" t="s">
        <v>525</v>
      </c>
    </row>
    <row r="489" spans="1:8" x14ac:dyDescent="0.35">
      <c r="A489" s="1" t="s">
        <v>1998</v>
      </c>
      <c r="B489" s="1" t="s">
        <v>1999</v>
      </c>
      <c r="C489" s="1" t="s">
        <v>521</v>
      </c>
      <c r="D489" s="1" t="s">
        <v>2000</v>
      </c>
      <c r="E489" s="1" t="s">
        <v>2001</v>
      </c>
      <c r="F489" s="1" t="s">
        <v>524</v>
      </c>
      <c r="G489" s="1">
        <v>37708</v>
      </c>
      <c r="H489" s="1" t="s">
        <v>525</v>
      </c>
    </row>
    <row r="490" spans="1:8" x14ac:dyDescent="0.35">
      <c r="A490" s="1" t="s">
        <v>154</v>
      </c>
      <c r="B490" s="1" t="s">
        <v>2002</v>
      </c>
      <c r="C490" s="1" t="s">
        <v>521</v>
      </c>
      <c r="D490" s="1" t="s">
        <v>2003</v>
      </c>
      <c r="E490" s="1" t="s">
        <v>2004</v>
      </c>
      <c r="F490" s="1" t="s">
        <v>524</v>
      </c>
      <c r="G490" s="1">
        <v>37861</v>
      </c>
      <c r="H490" s="1" t="s">
        <v>525</v>
      </c>
    </row>
    <row r="491" spans="1:8" x14ac:dyDescent="0.35">
      <c r="A491" s="1" t="s">
        <v>2005</v>
      </c>
      <c r="B491" s="1" t="s">
        <v>2006</v>
      </c>
      <c r="C491" s="1" t="s">
        <v>521</v>
      </c>
      <c r="D491" s="1" t="s">
        <v>2007</v>
      </c>
      <c r="E491" s="1" t="s">
        <v>2004</v>
      </c>
      <c r="F491" s="1" t="s">
        <v>524</v>
      </c>
      <c r="G491" s="1">
        <v>37861</v>
      </c>
      <c r="H491" s="1" t="s">
        <v>525</v>
      </c>
    </row>
    <row r="492" spans="1:8" x14ac:dyDescent="0.35">
      <c r="A492" s="1" t="s">
        <v>2008</v>
      </c>
      <c r="B492" s="1" t="s">
        <v>2009</v>
      </c>
      <c r="C492" s="1" t="s">
        <v>521</v>
      </c>
      <c r="D492" s="1" t="s">
        <v>2010</v>
      </c>
      <c r="E492" s="1" t="s">
        <v>2004</v>
      </c>
      <c r="F492" s="1" t="s">
        <v>524</v>
      </c>
      <c r="G492" s="1">
        <v>37861</v>
      </c>
      <c r="H492" s="1" t="s">
        <v>525</v>
      </c>
    </row>
    <row r="493" spans="1:8" x14ac:dyDescent="0.35">
      <c r="A493" s="1" t="s">
        <v>2011</v>
      </c>
      <c r="B493" s="1" t="s">
        <v>2012</v>
      </c>
      <c r="C493" s="1" t="s">
        <v>521</v>
      </c>
      <c r="D493" s="1" t="s">
        <v>2013</v>
      </c>
      <c r="E493" s="1" t="s">
        <v>2004</v>
      </c>
      <c r="F493" s="1" t="s">
        <v>524</v>
      </c>
      <c r="G493" s="1">
        <v>37861</v>
      </c>
      <c r="H493" s="1" t="s">
        <v>525</v>
      </c>
    </row>
    <row r="494" spans="1:8" x14ac:dyDescent="0.35">
      <c r="A494" s="1" t="s">
        <v>2014</v>
      </c>
      <c r="B494" s="1" t="s">
        <v>2015</v>
      </c>
      <c r="C494" s="1" t="s">
        <v>521</v>
      </c>
      <c r="D494" s="1" t="s">
        <v>2016</v>
      </c>
      <c r="E494" s="1" t="s">
        <v>2004</v>
      </c>
      <c r="F494" s="1" t="s">
        <v>524</v>
      </c>
      <c r="G494" s="1">
        <v>37861</v>
      </c>
      <c r="H494" s="1" t="s">
        <v>525</v>
      </c>
    </row>
    <row r="495" spans="1:8" x14ac:dyDescent="0.35">
      <c r="A495" s="1" t="s">
        <v>156</v>
      </c>
      <c r="B495" s="1" t="s">
        <v>2017</v>
      </c>
      <c r="C495" s="1" t="s">
        <v>521</v>
      </c>
      <c r="D495" s="1" t="s">
        <v>2018</v>
      </c>
      <c r="E495" s="1" t="s">
        <v>2019</v>
      </c>
      <c r="F495" s="1" t="s">
        <v>524</v>
      </c>
      <c r="G495" s="1">
        <v>37888</v>
      </c>
      <c r="H495" s="1" t="s">
        <v>525</v>
      </c>
    </row>
    <row r="496" spans="1:8" x14ac:dyDescent="0.35">
      <c r="A496" s="1" t="s">
        <v>157</v>
      </c>
      <c r="B496" s="1" t="s">
        <v>2020</v>
      </c>
      <c r="C496" s="1" t="s">
        <v>521</v>
      </c>
      <c r="D496" s="1" t="s">
        <v>2021</v>
      </c>
      <c r="E496" s="1" t="s">
        <v>2004</v>
      </c>
      <c r="F496" s="1" t="s">
        <v>524</v>
      </c>
      <c r="G496" s="1">
        <v>37861</v>
      </c>
      <c r="H496" s="1" t="s">
        <v>525</v>
      </c>
    </row>
    <row r="497" spans="1:8" x14ac:dyDescent="0.35">
      <c r="A497" s="1" t="s">
        <v>2022</v>
      </c>
      <c r="B497" s="1" t="s">
        <v>2023</v>
      </c>
      <c r="C497" s="1" t="s">
        <v>521</v>
      </c>
      <c r="D497" s="1" t="s">
        <v>2024</v>
      </c>
      <c r="E497" s="1" t="s">
        <v>164</v>
      </c>
      <c r="F497" s="1" t="s">
        <v>524</v>
      </c>
      <c r="G497" s="1">
        <v>37745</v>
      </c>
      <c r="H497" s="1" t="s">
        <v>525</v>
      </c>
    </row>
    <row r="498" spans="1:8" x14ac:dyDescent="0.35">
      <c r="A498" s="1" t="s">
        <v>2025</v>
      </c>
      <c r="B498" s="1" t="s">
        <v>2026</v>
      </c>
      <c r="C498" s="1" t="s">
        <v>521</v>
      </c>
      <c r="D498" s="1" t="s">
        <v>2027</v>
      </c>
      <c r="E498" s="1" t="s">
        <v>164</v>
      </c>
      <c r="F498" s="1" t="s">
        <v>524</v>
      </c>
      <c r="G498" s="1">
        <v>37743</v>
      </c>
      <c r="H498" s="1" t="s">
        <v>525</v>
      </c>
    </row>
    <row r="499" spans="1:8" x14ac:dyDescent="0.35">
      <c r="A499" s="1" t="s">
        <v>2028</v>
      </c>
      <c r="B499" s="1" t="s">
        <v>2029</v>
      </c>
      <c r="C499" s="1" t="s">
        <v>521</v>
      </c>
      <c r="D499" s="1" t="s">
        <v>2030</v>
      </c>
      <c r="E499" s="1" t="s">
        <v>2031</v>
      </c>
      <c r="F499" s="1" t="s">
        <v>524</v>
      </c>
      <c r="G499" s="1">
        <v>37641</v>
      </c>
      <c r="H499" s="1" t="s">
        <v>525</v>
      </c>
    </row>
    <row r="500" spans="1:8" x14ac:dyDescent="0.35">
      <c r="A500" s="1" t="s">
        <v>2032</v>
      </c>
      <c r="B500" s="1" t="s">
        <v>2033</v>
      </c>
      <c r="C500" s="1" t="s">
        <v>521</v>
      </c>
      <c r="D500" s="1" t="s">
        <v>2034</v>
      </c>
      <c r="E500" s="1" t="s">
        <v>2035</v>
      </c>
      <c r="F500" s="1" t="s">
        <v>524</v>
      </c>
      <c r="G500" s="1">
        <v>37616</v>
      </c>
      <c r="H500" s="1" t="s">
        <v>525</v>
      </c>
    </row>
    <row r="501" spans="1:8" x14ac:dyDescent="0.35">
      <c r="A501" s="1" t="s">
        <v>158</v>
      </c>
      <c r="B501" s="1" t="s">
        <v>2036</v>
      </c>
      <c r="C501" s="1" t="s">
        <v>521</v>
      </c>
      <c r="D501" s="1" t="s">
        <v>2037</v>
      </c>
      <c r="E501" s="1" t="s">
        <v>2035</v>
      </c>
      <c r="F501" s="1" t="s">
        <v>524</v>
      </c>
      <c r="G501" s="1">
        <v>37616</v>
      </c>
      <c r="H501" s="1" t="s">
        <v>525</v>
      </c>
    </row>
    <row r="502" spans="1:8" x14ac:dyDescent="0.35">
      <c r="A502" s="1" t="s">
        <v>2038</v>
      </c>
      <c r="B502" s="1" t="s">
        <v>2039</v>
      </c>
      <c r="C502" s="1" t="s">
        <v>521</v>
      </c>
      <c r="D502" s="1" t="s">
        <v>2040</v>
      </c>
      <c r="E502" s="1" t="s">
        <v>164</v>
      </c>
      <c r="F502" s="1" t="s">
        <v>524</v>
      </c>
      <c r="G502" s="1">
        <v>37743</v>
      </c>
      <c r="H502" s="1" t="s">
        <v>525</v>
      </c>
    </row>
    <row r="503" spans="1:8" x14ac:dyDescent="0.35">
      <c r="A503" s="1" t="s">
        <v>2041</v>
      </c>
      <c r="B503" s="1" t="s">
        <v>2042</v>
      </c>
      <c r="C503" s="1" t="s">
        <v>521</v>
      </c>
      <c r="D503" s="1" t="s">
        <v>2043</v>
      </c>
      <c r="E503" s="1" t="s">
        <v>164</v>
      </c>
      <c r="F503" s="1" t="s">
        <v>524</v>
      </c>
      <c r="G503" s="1">
        <v>37745</v>
      </c>
      <c r="H503" s="1" t="s">
        <v>525</v>
      </c>
    </row>
    <row r="504" spans="1:8" x14ac:dyDescent="0.35">
      <c r="A504" s="1" t="s">
        <v>2044</v>
      </c>
      <c r="B504" s="1" t="s">
        <v>587</v>
      </c>
      <c r="C504" s="1" t="s">
        <v>521</v>
      </c>
      <c r="D504" s="1" t="s">
        <v>2045</v>
      </c>
      <c r="E504" s="1" t="s">
        <v>164</v>
      </c>
      <c r="F504" s="1" t="s">
        <v>524</v>
      </c>
      <c r="G504" s="1">
        <v>37743</v>
      </c>
      <c r="H504" s="1" t="s">
        <v>525</v>
      </c>
    </row>
    <row r="505" spans="1:8" x14ac:dyDescent="0.35">
      <c r="A505" s="1" t="s">
        <v>2046</v>
      </c>
      <c r="B505" s="1" t="s">
        <v>2047</v>
      </c>
      <c r="C505" s="1" t="s">
        <v>521</v>
      </c>
      <c r="D505" s="1" t="s">
        <v>2048</v>
      </c>
      <c r="E505" s="1" t="s">
        <v>2049</v>
      </c>
      <c r="F505" s="1" t="s">
        <v>524</v>
      </c>
      <c r="G505" s="1">
        <v>37810</v>
      </c>
      <c r="H505" s="1" t="s">
        <v>525</v>
      </c>
    </row>
    <row r="506" spans="1:8" x14ac:dyDescent="0.35">
      <c r="A506" s="1" t="s">
        <v>2050</v>
      </c>
      <c r="B506" s="1" t="s">
        <v>2051</v>
      </c>
      <c r="C506" s="1" t="s">
        <v>521</v>
      </c>
      <c r="D506" s="1" t="s">
        <v>2052</v>
      </c>
      <c r="E506" s="1" t="s">
        <v>2053</v>
      </c>
      <c r="F506" s="1" t="s">
        <v>524</v>
      </c>
      <c r="G506" s="1">
        <v>37818</v>
      </c>
      <c r="H506" s="1" t="s">
        <v>525</v>
      </c>
    </row>
    <row r="507" spans="1:8" x14ac:dyDescent="0.35">
      <c r="A507" s="1" t="s">
        <v>2054</v>
      </c>
      <c r="B507" s="1" t="s">
        <v>2055</v>
      </c>
      <c r="C507" s="1" t="s">
        <v>521</v>
      </c>
      <c r="D507" s="1" t="s">
        <v>2056</v>
      </c>
      <c r="E507" s="1" t="s">
        <v>164</v>
      </c>
      <c r="F507" s="1" t="s">
        <v>524</v>
      </c>
      <c r="G507" s="1">
        <v>37743</v>
      </c>
      <c r="H507" s="1" t="s">
        <v>525</v>
      </c>
    </row>
    <row r="508" spans="1:8" x14ac:dyDescent="0.35">
      <c r="A508" s="1" t="s">
        <v>160</v>
      </c>
      <c r="B508" s="1" t="s">
        <v>2057</v>
      </c>
      <c r="C508" s="1" t="s">
        <v>521</v>
      </c>
      <c r="D508" s="1" t="s">
        <v>2058</v>
      </c>
      <c r="E508" s="1" t="s">
        <v>164</v>
      </c>
      <c r="F508" s="1" t="s">
        <v>524</v>
      </c>
      <c r="G508" s="1">
        <v>37745</v>
      </c>
      <c r="H508" s="1" t="s">
        <v>525</v>
      </c>
    </row>
    <row r="509" spans="1:8" x14ac:dyDescent="0.35">
      <c r="A509" s="1" t="s">
        <v>2059</v>
      </c>
      <c r="B509" s="1" t="s">
        <v>2060</v>
      </c>
      <c r="C509" s="1" t="s">
        <v>521</v>
      </c>
      <c r="D509" s="1" t="s">
        <v>2061</v>
      </c>
      <c r="E509" s="1" t="s">
        <v>164</v>
      </c>
      <c r="F509" s="1" t="s">
        <v>524</v>
      </c>
      <c r="G509" s="1">
        <v>37743</v>
      </c>
      <c r="H509" s="1" t="s">
        <v>525</v>
      </c>
    </row>
    <row r="510" spans="1:8" x14ac:dyDescent="0.35">
      <c r="A510" s="1" t="s">
        <v>161</v>
      </c>
      <c r="B510" s="1" t="s">
        <v>2062</v>
      </c>
      <c r="C510" s="1" t="s">
        <v>521</v>
      </c>
      <c r="D510" s="1" t="s">
        <v>2063</v>
      </c>
      <c r="E510" s="1" t="s">
        <v>164</v>
      </c>
      <c r="F510" s="1" t="s">
        <v>524</v>
      </c>
      <c r="G510" s="1">
        <v>37743</v>
      </c>
      <c r="H510" s="1" t="s">
        <v>525</v>
      </c>
    </row>
    <row r="511" spans="1:8" x14ac:dyDescent="0.35">
      <c r="A511" s="1" t="s">
        <v>162</v>
      </c>
      <c r="B511" s="1" t="s">
        <v>2064</v>
      </c>
      <c r="C511" s="1" t="s">
        <v>521</v>
      </c>
      <c r="D511" s="1" t="s">
        <v>2065</v>
      </c>
      <c r="E511" s="1" t="s">
        <v>2053</v>
      </c>
      <c r="F511" s="1" t="s">
        <v>524</v>
      </c>
      <c r="G511" s="1">
        <v>37818</v>
      </c>
      <c r="H511" s="1" t="s">
        <v>525</v>
      </c>
    </row>
    <row r="512" spans="1:8" x14ac:dyDescent="0.35">
      <c r="A512" s="1" t="s">
        <v>2066</v>
      </c>
      <c r="B512" s="1" t="s">
        <v>2067</v>
      </c>
      <c r="C512" s="1" t="s">
        <v>521</v>
      </c>
      <c r="D512" s="1" t="s">
        <v>2068</v>
      </c>
      <c r="E512" s="1" t="s">
        <v>164</v>
      </c>
      <c r="F512" s="1" t="s">
        <v>524</v>
      </c>
      <c r="G512" s="1">
        <v>37745</v>
      </c>
      <c r="H512" s="1" t="s">
        <v>525</v>
      </c>
    </row>
    <row r="513" spans="1:8" x14ac:dyDescent="0.35">
      <c r="A513" s="1" t="s">
        <v>2069</v>
      </c>
      <c r="B513" s="1" t="s">
        <v>2070</v>
      </c>
      <c r="C513" s="1" t="s">
        <v>521</v>
      </c>
      <c r="D513" s="1" t="s">
        <v>2071</v>
      </c>
      <c r="E513" s="1" t="s">
        <v>164</v>
      </c>
      <c r="F513" s="1" t="s">
        <v>524</v>
      </c>
      <c r="G513" s="1">
        <v>37743</v>
      </c>
      <c r="H513" s="1" t="s">
        <v>525</v>
      </c>
    </row>
    <row r="514" spans="1:8" x14ac:dyDescent="0.35">
      <c r="A514" s="1" t="s">
        <v>2072</v>
      </c>
      <c r="B514" s="1" t="s">
        <v>2073</v>
      </c>
      <c r="C514" s="1" t="s">
        <v>521</v>
      </c>
      <c r="D514" s="1" t="s">
        <v>2074</v>
      </c>
      <c r="E514" s="1" t="s">
        <v>164</v>
      </c>
      <c r="F514" s="1" t="s">
        <v>524</v>
      </c>
      <c r="G514" s="1">
        <v>37745</v>
      </c>
      <c r="H514" s="1" t="s">
        <v>525</v>
      </c>
    </row>
    <row r="515" spans="1:8" x14ac:dyDescent="0.35">
      <c r="A515" s="1" t="s">
        <v>163</v>
      </c>
      <c r="B515" s="1" t="s">
        <v>2075</v>
      </c>
      <c r="C515" s="1" t="s">
        <v>521</v>
      </c>
      <c r="D515" s="1" t="s">
        <v>2076</v>
      </c>
      <c r="E515" s="1" t="s">
        <v>164</v>
      </c>
      <c r="F515" s="1" t="s">
        <v>524</v>
      </c>
      <c r="G515" s="1">
        <v>37745</v>
      </c>
      <c r="H515" s="1" t="s">
        <v>525</v>
      </c>
    </row>
    <row r="516" spans="1:8" x14ac:dyDescent="0.35">
      <c r="A516" s="1" t="s">
        <v>2077</v>
      </c>
      <c r="B516" s="1" t="s">
        <v>2078</v>
      </c>
      <c r="C516" s="1" t="s">
        <v>521</v>
      </c>
      <c r="D516" s="1" t="s">
        <v>2079</v>
      </c>
      <c r="E516" s="1" t="s">
        <v>164</v>
      </c>
      <c r="F516" s="1" t="s">
        <v>524</v>
      </c>
      <c r="G516" s="1">
        <v>37743</v>
      </c>
      <c r="H516" s="1" t="s">
        <v>525</v>
      </c>
    </row>
    <row r="517" spans="1:8" x14ac:dyDescent="0.35">
      <c r="A517" s="1" t="s">
        <v>2080</v>
      </c>
      <c r="B517" s="1" t="s">
        <v>2081</v>
      </c>
      <c r="C517" s="1" t="s">
        <v>521</v>
      </c>
      <c r="D517" s="1" t="s">
        <v>2082</v>
      </c>
      <c r="E517" s="1" t="s">
        <v>164</v>
      </c>
      <c r="F517" s="1" t="s">
        <v>524</v>
      </c>
      <c r="G517" s="1">
        <v>37745</v>
      </c>
      <c r="H517" s="1" t="s">
        <v>525</v>
      </c>
    </row>
    <row r="518" spans="1:8" x14ac:dyDescent="0.35">
      <c r="A518" s="1" t="s">
        <v>2083</v>
      </c>
      <c r="B518" s="1" t="s">
        <v>2084</v>
      </c>
      <c r="C518" s="1" t="s">
        <v>521</v>
      </c>
      <c r="D518" s="1" t="s">
        <v>2085</v>
      </c>
      <c r="E518" s="1" t="s">
        <v>164</v>
      </c>
      <c r="F518" s="1" t="s">
        <v>524</v>
      </c>
      <c r="G518" s="1">
        <v>37745</v>
      </c>
      <c r="H518" s="1" t="s">
        <v>525</v>
      </c>
    </row>
    <row r="519" spans="1:8" x14ac:dyDescent="0.35">
      <c r="A519" s="1" t="s">
        <v>2086</v>
      </c>
      <c r="B519" s="1" t="s">
        <v>2087</v>
      </c>
      <c r="C519" s="1" t="s">
        <v>521</v>
      </c>
      <c r="D519" s="1" t="s">
        <v>2088</v>
      </c>
      <c r="E519" s="1" t="s">
        <v>2089</v>
      </c>
      <c r="F519" s="1" t="s">
        <v>524</v>
      </c>
      <c r="G519" s="1">
        <v>37313</v>
      </c>
      <c r="H519" s="1" t="s">
        <v>525</v>
      </c>
    </row>
    <row r="520" spans="1:8" x14ac:dyDescent="0.35">
      <c r="A520" s="1" t="s">
        <v>165</v>
      </c>
      <c r="B520" s="1" t="s">
        <v>2090</v>
      </c>
      <c r="C520" s="1" t="s">
        <v>521</v>
      </c>
      <c r="D520" s="1" t="s">
        <v>2091</v>
      </c>
      <c r="E520" s="1" t="s">
        <v>2089</v>
      </c>
      <c r="F520" s="1" t="s">
        <v>524</v>
      </c>
      <c r="G520" s="1">
        <v>37313</v>
      </c>
      <c r="H520" s="1" t="s">
        <v>525</v>
      </c>
    </row>
    <row r="521" spans="1:8" x14ac:dyDescent="0.35">
      <c r="A521" s="1" t="s">
        <v>2092</v>
      </c>
      <c r="B521" s="1" t="s">
        <v>2093</v>
      </c>
      <c r="C521" s="1" t="s">
        <v>521</v>
      </c>
      <c r="D521" s="1" t="s">
        <v>2094</v>
      </c>
      <c r="E521" s="1" t="s">
        <v>2095</v>
      </c>
      <c r="F521" s="1" t="s">
        <v>524</v>
      </c>
      <c r="G521" s="1">
        <v>37301</v>
      </c>
      <c r="H521" s="1" t="s">
        <v>525</v>
      </c>
    </row>
    <row r="522" spans="1:8" x14ac:dyDescent="0.35">
      <c r="A522" s="1" t="s">
        <v>2096</v>
      </c>
      <c r="B522" s="1" t="s">
        <v>2097</v>
      </c>
      <c r="C522" s="1" t="s">
        <v>521</v>
      </c>
      <c r="D522" s="1" t="s">
        <v>2098</v>
      </c>
      <c r="E522" s="1" t="s">
        <v>2099</v>
      </c>
      <c r="F522" s="1" t="s">
        <v>524</v>
      </c>
      <c r="G522" s="1">
        <v>37365</v>
      </c>
      <c r="H522" s="1" t="s">
        <v>525</v>
      </c>
    </row>
    <row r="523" spans="1:8" x14ac:dyDescent="0.35">
      <c r="A523" s="1" t="s">
        <v>2100</v>
      </c>
      <c r="B523" s="1" t="s">
        <v>2101</v>
      </c>
      <c r="C523" s="1" t="s">
        <v>521</v>
      </c>
      <c r="D523" s="1" t="s">
        <v>2102</v>
      </c>
      <c r="E523" s="1" t="s">
        <v>2103</v>
      </c>
      <c r="F523" s="1" t="s">
        <v>524</v>
      </c>
      <c r="G523" s="1">
        <v>37366</v>
      </c>
      <c r="H523" s="1" t="s">
        <v>525</v>
      </c>
    </row>
    <row r="524" spans="1:8" x14ac:dyDescent="0.35">
      <c r="A524" s="1" t="s">
        <v>2104</v>
      </c>
      <c r="B524" s="1" t="s">
        <v>2105</v>
      </c>
      <c r="C524" s="1" t="s">
        <v>521</v>
      </c>
      <c r="D524" s="1" t="s">
        <v>2106</v>
      </c>
      <c r="E524" s="1" t="s">
        <v>2107</v>
      </c>
      <c r="F524" s="1" t="s">
        <v>524</v>
      </c>
      <c r="G524" s="1">
        <v>37339</v>
      </c>
      <c r="H524" s="1" t="s">
        <v>525</v>
      </c>
    </row>
    <row r="525" spans="1:8" x14ac:dyDescent="0.35">
      <c r="A525" s="1" t="s">
        <v>2108</v>
      </c>
      <c r="B525" s="1" t="s">
        <v>2109</v>
      </c>
      <c r="C525" s="1" t="s">
        <v>521</v>
      </c>
      <c r="D525" s="1" t="s">
        <v>2110</v>
      </c>
      <c r="E525" s="1" t="s">
        <v>2111</v>
      </c>
      <c r="F525" s="1" t="s">
        <v>524</v>
      </c>
      <c r="G525" s="1">
        <v>37387</v>
      </c>
      <c r="H525" s="1" t="s">
        <v>525</v>
      </c>
    </row>
    <row r="526" spans="1:8" x14ac:dyDescent="0.35">
      <c r="A526" s="1" t="s">
        <v>2112</v>
      </c>
      <c r="B526" s="1" t="s">
        <v>2113</v>
      </c>
      <c r="C526" s="1" t="s">
        <v>521</v>
      </c>
      <c r="D526" s="1" t="s">
        <v>2114</v>
      </c>
      <c r="E526" s="1" t="s">
        <v>2115</v>
      </c>
      <c r="F526" s="1" t="s">
        <v>524</v>
      </c>
      <c r="G526" s="1">
        <v>37814</v>
      </c>
      <c r="H526" s="1" t="s">
        <v>525</v>
      </c>
    </row>
    <row r="527" spans="1:8" x14ac:dyDescent="0.35">
      <c r="A527" s="1" t="s">
        <v>2116</v>
      </c>
      <c r="B527" s="1" t="s">
        <v>2117</v>
      </c>
      <c r="C527" s="1" t="s">
        <v>521</v>
      </c>
      <c r="D527" s="1" t="s">
        <v>2118</v>
      </c>
      <c r="E527" s="1" t="s">
        <v>2119</v>
      </c>
      <c r="F527" s="1" t="s">
        <v>524</v>
      </c>
      <c r="G527" s="1">
        <v>37891</v>
      </c>
      <c r="H527" s="1" t="s">
        <v>525</v>
      </c>
    </row>
    <row r="528" spans="1:8" x14ac:dyDescent="0.35">
      <c r="A528" s="1" t="s">
        <v>2120</v>
      </c>
      <c r="B528" s="1" t="s">
        <v>2121</v>
      </c>
      <c r="C528" s="1" t="s">
        <v>521</v>
      </c>
      <c r="D528" s="1" t="s">
        <v>2122</v>
      </c>
      <c r="E528" s="1" t="s">
        <v>2115</v>
      </c>
      <c r="F528" s="1" t="s">
        <v>524</v>
      </c>
      <c r="G528" s="1">
        <v>37814</v>
      </c>
      <c r="H528" s="1" t="s">
        <v>525</v>
      </c>
    </row>
    <row r="529" spans="1:8" x14ac:dyDescent="0.35">
      <c r="A529" s="1" t="s">
        <v>2123</v>
      </c>
      <c r="B529" s="1" t="s">
        <v>2124</v>
      </c>
      <c r="C529" s="1" t="s">
        <v>521</v>
      </c>
      <c r="D529" s="1" t="s">
        <v>2125</v>
      </c>
      <c r="E529" s="1" t="s">
        <v>2115</v>
      </c>
      <c r="F529" s="1" t="s">
        <v>524</v>
      </c>
      <c r="G529" s="1">
        <v>37813</v>
      </c>
      <c r="H529" s="1" t="s">
        <v>525</v>
      </c>
    </row>
    <row r="530" spans="1:8" x14ac:dyDescent="0.35">
      <c r="A530" s="1" t="s">
        <v>2126</v>
      </c>
      <c r="B530" s="1" t="s">
        <v>2127</v>
      </c>
      <c r="C530" s="1" t="s">
        <v>521</v>
      </c>
      <c r="D530" s="1" t="s">
        <v>2128</v>
      </c>
      <c r="E530" s="1" t="s">
        <v>2115</v>
      </c>
      <c r="F530" s="1" t="s">
        <v>524</v>
      </c>
      <c r="G530" s="1">
        <v>37814</v>
      </c>
      <c r="H530" s="1" t="s">
        <v>525</v>
      </c>
    </row>
    <row r="531" spans="1:8" x14ac:dyDescent="0.35">
      <c r="A531" s="1" t="s">
        <v>2129</v>
      </c>
      <c r="B531" s="1" t="s">
        <v>2130</v>
      </c>
      <c r="C531" s="1" t="s">
        <v>521</v>
      </c>
      <c r="D531" s="1" t="s">
        <v>2131</v>
      </c>
      <c r="E531" s="1" t="s">
        <v>2115</v>
      </c>
      <c r="F531" s="1" t="s">
        <v>524</v>
      </c>
      <c r="G531" s="1">
        <v>37814</v>
      </c>
      <c r="H531" s="1" t="s">
        <v>525</v>
      </c>
    </row>
    <row r="532" spans="1:8" x14ac:dyDescent="0.35">
      <c r="A532" s="1" t="s">
        <v>2132</v>
      </c>
      <c r="B532" s="1" t="s">
        <v>2133</v>
      </c>
      <c r="C532" s="1" t="s">
        <v>521</v>
      </c>
      <c r="D532" s="1" t="s">
        <v>2134</v>
      </c>
      <c r="E532" s="1" t="s">
        <v>2115</v>
      </c>
      <c r="F532" s="1" t="s">
        <v>524</v>
      </c>
      <c r="G532" s="1">
        <v>37813</v>
      </c>
      <c r="H532" s="1" t="s">
        <v>525</v>
      </c>
    </row>
    <row r="533" spans="1:8" x14ac:dyDescent="0.35">
      <c r="A533" s="1" t="s">
        <v>2135</v>
      </c>
      <c r="B533" s="1" t="s">
        <v>2136</v>
      </c>
      <c r="C533" s="1" t="s">
        <v>521</v>
      </c>
      <c r="D533" s="1" t="s">
        <v>2137</v>
      </c>
      <c r="E533" s="1" t="s">
        <v>2138</v>
      </c>
      <c r="F533" s="1" t="s">
        <v>524</v>
      </c>
      <c r="G533" s="1">
        <v>37860</v>
      </c>
      <c r="H533" s="1" t="s">
        <v>525</v>
      </c>
    </row>
    <row r="534" spans="1:8" x14ac:dyDescent="0.35">
      <c r="A534" s="1" t="s">
        <v>2139</v>
      </c>
      <c r="B534" s="1" t="s">
        <v>2140</v>
      </c>
      <c r="C534" s="1" t="s">
        <v>521</v>
      </c>
      <c r="D534" s="1" t="s">
        <v>2141</v>
      </c>
      <c r="E534" s="1" t="s">
        <v>2115</v>
      </c>
      <c r="F534" s="1" t="s">
        <v>524</v>
      </c>
      <c r="G534" s="1">
        <v>37813</v>
      </c>
      <c r="H534" s="1" t="s">
        <v>525</v>
      </c>
    </row>
    <row r="535" spans="1:8" x14ac:dyDescent="0.35">
      <c r="A535" s="1" t="s">
        <v>2142</v>
      </c>
      <c r="B535" s="1" t="s">
        <v>2143</v>
      </c>
      <c r="C535" s="1" t="s">
        <v>521</v>
      </c>
      <c r="D535" s="1" t="s">
        <v>2144</v>
      </c>
      <c r="E535" s="1" t="s">
        <v>2115</v>
      </c>
      <c r="F535" s="1" t="s">
        <v>524</v>
      </c>
      <c r="G535" s="1">
        <v>37813</v>
      </c>
      <c r="H535" s="1" t="s">
        <v>525</v>
      </c>
    </row>
    <row r="536" spans="1:8" x14ac:dyDescent="0.35">
      <c r="A536" s="1" t="s">
        <v>2145</v>
      </c>
      <c r="B536" s="1" t="s">
        <v>2146</v>
      </c>
      <c r="C536" s="1" t="s">
        <v>521</v>
      </c>
      <c r="D536" s="1" t="s">
        <v>2147</v>
      </c>
      <c r="E536" s="1" t="s">
        <v>2115</v>
      </c>
      <c r="F536" s="1" t="s">
        <v>524</v>
      </c>
      <c r="G536" s="1">
        <v>37813</v>
      </c>
      <c r="H536" s="1" t="s">
        <v>525</v>
      </c>
    </row>
    <row r="537" spans="1:8" x14ac:dyDescent="0.35">
      <c r="A537" s="1" t="s">
        <v>2148</v>
      </c>
      <c r="B537" s="1" t="s">
        <v>2149</v>
      </c>
      <c r="C537" s="1" t="s">
        <v>521</v>
      </c>
      <c r="D537" s="1" t="s">
        <v>2150</v>
      </c>
      <c r="E537" s="1" t="s">
        <v>2119</v>
      </c>
      <c r="F537" s="1" t="s">
        <v>524</v>
      </c>
      <c r="G537" s="1">
        <v>37891</v>
      </c>
      <c r="H537" s="1" t="s">
        <v>525</v>
      </c>
    </row>
    <row r="538" spans="1:8" x14ac:dyDescent="0.35">
      <c r="A538" s="1" t="s">
        <v>2151</v>
      </c>
      <c r="B538" s="1" t="s">
        <v>2152</v>
      </c>
      <c r="C538" s="1" t="s">
        <v>521</v>
      </c>
      <c r="D538" s="1" t="s">
        <v>2153</v>
      </c>
      <c r="E538" s="1" t="s">
        <v>2115</v>
      </c>
      <c r="F538" s="1" t="s">
        <v>524</v>
      </c>
      <c r="G538" s="1">
        <v>37814</v>
      </c>
      <c r="H538" s="1" t="s">
        <v>525</v>
      </c>
    </row>
    <row r="539" spans="1:8" x14ac:dyDescent="0.35">
      <c r="A539" s="1" t="s">
        <v>2154</v>
      </c>
      <c r="B539" s="1" t="s">
        <v>2155</v>
      </c>
      <c r="C539" s="1" t="s">
        <v>521</v>
      </c>
      <c r="D539" s="1" t="s">
        <v>2156</v>
      </c>
      <c r="E539" s="1" t="s">
        <v>2115</v>
      </c>
      <c r="F539" s="1" t="s">
        <v>524</v>
      </c>
      <c r="G539" s="1">
        <v>37813</v>
      </c>
      <c r="H539" s="1" t="s">
        <v>525</v>
      </c>
    </row>
    <row r="540" spans="1:8" x14ac:dyDescent="0.35">
      <c r="A540" s="1" t="s">
        <v>167</v>
      </c>
      <c r="B540" s="1" t="s">
        <v>2157</v>
      </c>
      <c r="C540" s="1" t="s">
        <v>521</v>
      </c>
      <c r="D540" s="1" t="s">
        <v>2158</v>
      </c>
      <c r="E540" s="1" t="s">
        <v>2115</v>
      </c>
      <c r="F540" s="1" t="s">
        <v>524</v>
      </c>
      <c r="G540" s="1">
        <v>37813</v>
      </c>
      <c r="H540" s="1" t="s">
        <v>525</v>
      </c>
    </row>
    <row r="541" spans="1:8" x14ac:dyDescent="0.35">
      <c r="A541" s="1" t="s">
        <v>169</v>
      </c>
      <c r="B541" s="1" t="s">
        <v>2159</v>
      </c>
      <c r="C541" s="1" t="s">
        <v>521</v>
      </c>
      <c r="D541" s="1" t="s">
        <v>2160</v>
      </c>
      <c r="E541" s="1" t="s">
        <v>2115</v>
      </c>
      <c r="F541" s="1" t="s">
        <v>524</v>
      </c>
      <c r="G541" s="1">
        <v>37813</v>
      </c>
      <c r="H541" s="1" t="s">
        <v>525</v>
      </c>
    </row>
    <row r="542" spans="1:8" x14ac:dyDescent="0.35">
      <c r="A542" s="1" t="s">
        <v>2161</v>
      </c>
      <c r="B542" s="1" t="s">
        <v>2162</v>
      </c>
      <c r="C542" s="1" t="s">
        <v>521</v>
      </c>
      <c r="D542" s="1" t="s">
        <v>2163</v>
      </c>
      <c r="E542" s="1" t="s">
        <v>2115</v>
      </c>
      <c r="F542" s="1" t="s">
        <v>524</v>
      </c>
      <c r="G542" s="1">
        <v>37814</v>
      </c>
      <c r="H542" s="1" t="s">
        <v>525</v>
      </c>
    </row>
    <row r="543" spans="1:8" x14ac:dyDescent="0.35">
      <c r="A543" s="1" t="s">
        <v>2164</v>
      </c>
      <c r="B543" s="1" t="s">
        <v>2165</v>
      </c>
      <c r="C543" s="1" t="s">
        <v>521</v>
      </c>
      <c r="D543" s="1" t="s">
        <v>2166</v>
      </c>
      <c r="E543" s="1" t="s">
        <v>2167</v>
      </c>
      <c r="F543" s="1" t="s">
        <v>524</v>
      </c>
      <c r="G543" s="1">
        <v>37379</v>
      </c>
      <c r="H543" s="1" t="s">
        <v>525</v>
      </c>
    </row>
    <row r="544" spans="1:8" x14ac:dyDescent="0.35">
      <c r="A544" s="1" t="s">
        <v>2168</v>
      </c>
      <c r="B544" s="1" t="s">
        <v>2169</v>
      </c>
      <c r="C544" s="1" t="s">
        <v>521</v>
      </c>
      <c r="D544" s="1" t="s">
        <v>2170</v>
      </c>
      <c r="E544" s="1" t="s">
        <v>2171</v>
      </c>
      <c r="F544" s="1" t="s">
        <v>524</v>
      </c>
      <c r="G544" s="1">
        <v>37415</v>
      </c>
      <c r="H544" s="1" t="s">
        <v>525</v>
      </c>
    </row>
    <row r="545" spans="1:8" x14ac:dyDescent="0.35">
      <c r="A545" s="1" t="s">
        <v>2172</v>
      </c>
      <c r="B545" s="1" t="s">
        <v>2173</v>
      </c>
      <c r="C545" s="1" t="s">
        <v>521</v>
      </c>
      <c r="D545" s="1" t="s">
        <v>2174</v>
      </c>
      <c r="E545" s="1" t="s">
        <v>2175</v>
      </c>
      <c r="F545" s="1" t="s">
        <v>524</v>
      </c>
      <c r="G545" s="1">
        <v>37302</v>
      </c>
      <c r="H545" s="1" t="s">
        <v>525</v>
      </c>
    </row>
    <row r="546" spans="1:8" x14ac:dyDescent="0.35">
      <c r="A546" s="1" t="s">
        <v>2176</v>
      </c>
      <c r="B546" s="1" t="s">
        <v>2177</v>
      </c>
      <c r="C546" s="1" t="s">
        <v>521</v>
      </c>
      <c r="D546" s="1" t="s">
        <v>2178</v>
      </c>
      <c r="E546" s="1" t="s">
        <v>2171</v>
      </c>
      <c r="F546" s="1" t="s">
        <v>524</v>
      </c>
      <c r="G546" s="1">
        <v>37402</v>
      </c>
      <c r="H546" s="1" t="s">
        <v>525</v>
      </c>
    </row>
    <row r="547" spans="1:8" x14ac:dyDescent="0.35">
      <c r="A547" s="1" t="s">
        <v>2179</v>
      </c>
      <c r="B547" s="1" t="s">
        <v>2180</v>
      </c>
      <c r="C547" s="1" t="s">
        <v>521</v>
      </c>
      <c r="D547" s="1" t="s">
        <v>2181</v>
      </c>
      <c r="E547" s="1" t="s">
        <v>2171</v>
      </c>
      <c r="F547" s="1" t="s">
        <v>524</v>
      </c>
      <c r="G547" s="1">
        <v>37421</v>
      </c>
      <c r="H547" s="1" t="s">
        <v>525</v>
      </c>
    </row>
    <row r="548" spans="1:8" x14ac:dyDescent="0.35">
      <c r="A548" s="1" t="s">
        <v>2182</v>
      </c>
      <c r="B548" s="1" t="s">
        <v>2183</v>
      </c>
      <c r="C548" s="1" t="s">
        <v>521</v>
      </c>
      <c r="D548" s="1" t="s">
        <v>2184</v>
      </c>
      <c r="E548" s="1" t="s">
        <v>2185</v>
      </c>
      <c r="F548" s="1" t="s">
        <v>524</v>
      </c>
      <c r="G548" s="1">
        <v>37343</v>
      </c>
      <c r="H548" s="1" t="s">
        <v>525</v>
      </c>
    </row>
    <row r="549" spans="1:8" x14ac:dyDescent="0.35">
      <c r="A549" s="1" t="s">
        <v>170</v>
      </c>
      <c r="B549" s="1" t="s">
        <v>2186</v>
      </c>
      <c r="C549" s="1" t="s">
        <v>521</v>
      </c>
      <c r="D549" s="1" t="s">
        <v>2187</v>
      </c>
      <c r="E549" s="1" t="s">
        <v>2171</v>
      </c>
      <c r="F549" s="1" t="s">
        <v>524</v>
      </c>
      <c r="G549" s="1">
        <v>37411</v>
      </c>
      <c r="H549" s="1" t="s">
        <v>525</v>
      </c>
    </row>
    <row r="550" spans="1:8" x14ac:dyDescent="0.35">
      <c r="A550" s="1" t="s">
        <v>2188</v>
      </c>
      <c r="B550" s="1" t="s">
        <v>2189</v>
      </c>
      <c r="C550" s="1" t="s">
        <v>521</v>
      </c>
      <c r="D550" s="1" t="s">
        <v>2190</v>
      </c>
      <c r="E550" s="1" t="s">
        <v>2171</v>
      </c>
      <c r="F550" s="1" t="s">
        <v>524</v>
      </c>
      <c r="G550" s="1">
        <v>37403</v>
      </c>
      <c r="H550" s="1" t="s">
        <v>525</v>
      </c>
    </row>
    <row r="551" spans="1:8" x14ac:dyDescent="0.35">
      <c r="A551" s="1" t="s">
        <v>2191</v>
      </c>
      <c r="B551" s="1" t="s">
        <v>2192</v>
      </c>
      <c r="C551" s="1" t="s">
        <v>521</v>
      </c>
      <c r="D551" s="1" t="s">
        <v>2193</v>
      </c>
      <c r="E551" s="1" t="s">
        <v>2194</v>
      </c>
      <c r="F551" s="1" t="s">
        <v>524</v>
      </c>
      <c r="G551" s="1">
        <v>37341</v>
      </c>
      <c r="H551" s="1" t="s">
        <v>525</v>
      </c>
    </row>
    <row r="552" spans="1:8" x14ac:dyDescent="0.35">
      <c r="A552" s="1" t="s">
        <v>2195</v>
      </c>
      <c r="B552" s="1" t="s">
        <v>2196</v>
      </c>
      <c r="C552" s="1" t="s">
        <v>521</v>
      </c>
      <c r="D552" s="1" t="s">
        <v>2197</v>
      </c>
      <c r="E552" s="1" t="s">
        <v>2171</v>
      </c>
      <c r="F552" s="1" t="s">
        <v>524</v>
      </c>
      <c r="G552" s="1">
        <v>37410</v>
      </c>
      <c r="H552" s="1" t="s">
        <v>525</v>
      </c>
    </row>
    <row r="553" spans="1:8" x14ac:dyDescent="0.35">
      <c r="A553" s="1" t="s">
        <v>172</v>
      </c>
      <c r="B553" s="1" t="s">
        <v>915</v>
      </c>
      <c r="C553" s="1" t="s">
        <v>521</v>
      </c>
      <c r="D553" s="1" t="s">
        <v>2198</v>
      </c>
      <c r="E553" s="1" t="s">
        <v>2194</v>
      </c>
      <c r="F553" s="1" t="s">
        <v>524</v>
      </c>
      <c r="G553" s="1">
        <v>37341</v>
      </c>
      <c r="H553" s="1" t="s">
        <v>525</v>
      </c>
    </row>
    <row r="554" spans="1:8" x14ac:dyDescent="0.35">
      <c r="A554" s="1" t="s">
        <v>2199</v>
      </c>
      <c r="B554" s="1" t="s">
        <v>2200</v>
      </c>
      <c r="C554" s="1" t="s">
        <v>521</v>
      </c>
      <c r="D554" s="1" t="s">
        <v>2201</v>
      </c>
      <c r="E554" s="1" t="s">
        <v>2171</v>
      </c>
      <c r="F554" s="1" t="s">
        <v>524</v>
      </c>
      <c r="G554" s="1">
        <v>37405</v>
      </c>
      <c r="H554" s="1" t="s">
        <v>525</v>
      </c>
    </row>
    <row r="555" spans="1:8" x14ac:dyDescent="0.35">
      <c r="A555" s="1" t="s">
        <v>173</v>
      </c>
      <c r="B555" s="1" t="s">
        <v>2202</v>
      </c>
      <c r="C555" s="1" t="s">
        <v>521</v>
      </c>
      <c r="D555" s="1" t="s">
        <v>2203</v>
      </c>
      <c r="E555" s="1" t="s">
        <v>2171</v>
      </c>
      <c r="F555" s="1" t="s">
        <v>524</v>
      </c>
      <c r="G555" s="1">
        <v>37405</v>
      </c>
      <c r="H555" s="1" t="s">
        <v>525</v>
      </c>
    </row>
    <row r="556" spans="1:8" x14ac:dyDescent="0.35">
      <c r="A556" s="1" t="s">
        <v>174</v>
      </c>
      <c r="B556" s="1" t="s">
        <v>2204</v>
      </c>
      <c r="C556" s="1" t="s">
        <v>521</v>
      </c>
      <c r="D556" s="1" t="s">
        <v>2205</v>
      </c>
      <c r="E556" s="1" t="s">
        <v>2171</v>
      </c>
      <c r="F556" s="1" t="s">
        <v>524</v>
      </c>
      <c r="G556" s="1">
        <v>37403</v>
      </c>
      <c r="H556" s="1" t="s">
        <v>525</v>
      </c>
    </row>
    <row r="557" spans="1:8" x14ac:dyDescent="0.35">
      <c r="A557" s="1" t="s">
        <v>2206</v>
      </c>
      <c r="B557" s="1" t="s">
        <v>2207</v>
      </c>
      <c r="C557" s="1" t="s">
        <v>521</v>
      </c>
      <c r="D557" s="1" t="s">
        <v>2208</v>
      </c>
      <c r="E557" s="1" t="s">
        <v>2171</v>
      </c>
      <c r="F557" s="1" t="s">
        <v>524</v>
      </c>
      <c r="G557" s="1">
        <v>37403</v>
      </c>
      <c r="H557" s="1" t="s">
        <v>525</v>
      </c>
    </row>
    <row r="558" spans="1:8" x14ac:dyDescent="0.35">
      <c r="A558" s="1" t="s">
        <v>2209</v>
      </c>
      <c r="B558" s="1" t="s">
        <v>2210</v>
      </c>
      <c r="C558" s="1" t="s">
        <v>521</v>
      </c>
      <c r="D558" s="1" t="s">
        <v>2211</v>
      </c>
      <c r="E558" s="1" t="s">
        <v>2171</v>
      </c>
      <c r="F558" s="1" t="s">
        <v>524</v>
      </c>
      <c r="G558" s="1">
        <v>37407</v>
      </c>
      <c r="H558" s="1" t="s">
        <v>525</v>
      </c>
    </row>
    <row r="559" spans="1:8" x14ac:dyDescent="0.35">
      <c r="A559" s="1" t="s">
        <v>2212</v>
      </c>
      <c r="B559" s="1" t="s">
        <v>2213</v>
      </c>
      <c r="C559" s="1" t="s">
        <v>521</v>
      </c>
      <c r="D559" s="1" t="s">
        <v>2214</v>
      </c>
      <c r="E559" s="1" t="s">
        <v>2167</v>
      </c>
      <c r="F559" s="1" t="s">
        <v>524</v>
      </c>
      <c r="G559" s="1">
        <v>37379</v>
      </c>
      <c r="H559" s="1" t="s">
        <v>525</v>
      </c>
    </row>
    <row r="560" spans="1:8" x14ac:dyDescent="0.35">
      <c r="A560" s="1" t="s">
        <v>2215</v>
      </c>
      <c r="B560" s="1" t="s">
        <v>2216</v>
      </c>
      <c r="C560" s="1" t="s">
        <v>521</v>
      </c>
      <c r="D560" s="1" t="s">
        <v>2217</v>
      </c>
      <c r="E560" s="1" t="s">
        <v>2185</v>
      </c>
      <c r="F560" s="1" t="s">
        <v>524</v>
      </c>
      <c r="G560" s="1">
        <v>37343</v>
      </c>
      <c r="H560" s="1" t="s">
        <v>525</v>
      </c>
    </row>
    <row r="561" spans="1:8" x14ac:dyDescent="0.35">
      <c r="A561" s="1" t="s">
        <v>2218</v>
      </c>
      <c r="B561" s="1" t="s">
        <v>2219</v>
      </c>
      <c r="C561" s="1" t="s">
        <v>521</v>
      </c>
      <c r="D561" s="1" t="s">
        <v>2220</v>
      </c>
      <c r="E561" s="1" t="s">
        <v>2171</v>
      </c>
      <c r="F561" s="1" t="s">
        <v>524</v>
      </c>
      <c r="G561" s="1">
        <v>37411</v>
      </c>
      <c r="H561" s="1" t="s">
        <v>525</v>
      </c>
    </row>
    <row r="562" spans="1:8" x14ac:dyDescent="0.35">
      <c r="A562" s="1" t="s">
        <v>2221</v>
      </c>
      <c r="B562" s="1" t="s">
        <v>2222</v>
      </c>
      <c r="C562" s="1" t="s">
        <v>521</v>
      </c>
      <c r="D562" s="1" t="s">
        <v>2223</v>
      </c>
      <c r="E562" s="1" t="s">
        <v>2171</v>
      </c>
      <c r="F562" s="1" t="s">
        <v>524</v>
      </c>
      <c r="G562" s="1">
        <v>37415</v>
      </c>
      <c r="H562" s="1" t="s">
        <v>525</v>
      </c>
    </row>
    <row r="563" spans="1:8" x14ac:dyDescent="0.35">
      <c r="A563" s="1" t="s">
        <v>175</v>
      </c>
      <c r="B563" s="1" t="s">
        <v>2224</v>
      </c>
      <c r="C563" s="1" t="s">
        <v>521</v>
      </c>
      <c r="D563" s="1" t="s">
        <v>2225</v>
      </c>
      <c r="E563" s="1" t="s">
        <v>2226</v>
      </c>
      <c r="F563" s="1" t="s">
        <v>524</v>
      </c>
      <c r="G563" s="1">
        <v>37363</v>
      </c>
      <c r="H563" s="1" t="s">
        <v>525</v>
      </c>
    </row>
    <row r="564" spans="1:8" x14ac:dyDescent="0.35">
      <c r="A564" s="1" t="s">
        <v>2227</v>
      </c>
      <c r="B564" s="1" t="s">
        <v>2228</v>
      </c>
      <c r="C564" s="1" t="s">
        <v>521</v>
      </c>
      <c r="D564" s="1" t="s">
        <v>2229</v>
      </c>
      <c r="E564" s="1" t="s">
        <v>2171</v>
      </c>
      <c r="F564" s="1" t="s">
        <v>524</v>
      </c>
      <c r="G564" s="1">
        <v>37421</v>
      </c>
      <c r="H564" s="1" t="s">
        <v>525</v>
      </c>
    </row>
    <row r="565" spans="1:8" x14ac:dyDescent="0.35">
      <c r="A565" s="1" t="s">
        <v>2230</v>
      </c>
      <c r="B565" s="1" t="s">
        <v>2231</v>
      </c>
      <c r="C565" s="1" t="s">
        <v>521</v>
      </c>
      <c r="D565" s="1" t="s">
        <v>2232</v>
      </c>
      <c r="E565" s="1" t="s">
        <v>2171</v>
      </c>
      <c r="F565" s="1" t="s">
        <v>524</v>
      </c>
      <c r="G565" s="1">
        <v>37407</v>
      </c>
      <c r="H565" s="1" t="s">
        <v>525</v>
      </c>
    </row>
    <row r="566" spans="1:8" x14ac:dyDescent="0.35">
      <c r="A566" s="1" t="s">
        <v>2233</v>
      </c>
      <c r="B566" s="1" t="s">
        <v>2234</v>
      </c>
      <c r="C566" s="1" t="s">
        <v>521</v>
      </c>
      <c r="D566" s="1" t="s">
        <v>2235</v>
      </c>
      <c r="E566" s="1" t="s">
        <v>2171</v>
      </c>
      <c r="F566" s="1" t="s">
        <v>524</v>
      </c>
      <c r="G566" s="1">
        <v>37407</v>
      </c>
      <c r="H566" s="1" t="s">
        <v>525</v>
      </c>
    </row>
    <row r="567" spans="1:8" x14ac:dyDescent="0.35">
      <c r="A567" s="1" t="s">
        <v>2236</v>
      </c>
      <c r="B567" s="1" t="s">
        <v>2237</v>
      </c>
      <c r="C567" s="1" t="s">
        <v>521</v>
      </c>
      <c r="D567" s="1" t="s">
        <v>2238</v>
      </c>
      <c r="E567" s="1" t="s">
        <v>2171</v>
      </c>
      <c r="F567" s="1" t="s">
        <v>524</v>
      </c>
      <c r="G567" s="1">
        <v>37412</v>
      </c>
      <c r="H567" s="1" t="s">
        <v>525</v>
      </c>
    </row>
    <row r="568" spans="1:8" x14ac:dyDescent="0.35">
      <c r="A568" s="1" t="s">
        <v>176</v>
      </c>
      <c r="B568" s="1" t="s">
        <v>2239</v>
      </c>
      <c r="C568" s="1" t="s">
        <v>521</v>
      </c>
      <c r="D568" s="1" t="s">
        <v>2240</v>
      </c>
      <c r="E568" s="1" t="s">
        <v>2171</v>
      </c>
      <c r="F568" s="1" t="s">
        <v>524</v>
      </c>
      <c r="G568" s="1">
        <v>37412</v>
      </c>
      <c r="H568" s="1" t="s">
        <v>525</v>
      </c>
    </row>
    <row r="569" spans="1:8" x14ac:dyDescent="0.35">
      <c r="A569" s="1" t="s">
        <v>2241</v>
      </c>
      <c r="B569" s="1" t="s">
        <v>2117</v>
      </c>
      <c r="C569" s="1" t="s">
        <v>521</v>
      </c>
      <c r="D569" s="1" t="s">
        <v>2242</v>
      </c>
      <c r="E569" s="1" t="s">
        <v>2171</v>
      </c>
      <c r="F569" s="1" t="s">
        <v>524</v>
      </c>
      <c r="G569" s="1">
        <v>37412</v>
      </c>
      <c r="H569" s="1" t="s">
        <v>525</v>
      </c>
    </row>
    <row r="570" spans="1:8" x14ac:dyDescent="0.35">
      <c r="A570" s="1" t="s">
        <v>2243</v>
      </c>
      <c r="B570" s="1" t="s">
        <v>637</v>
      </c>
      <c r="C570" s="1" t="s">
        <v>521</v>
      </c>
      <c r="D570" s="1" t="s">
        <v>2244</v>
      </c>
      <c r="E570" s="1" t="s">
        <v>2171</v>
      </c>
      <c r="F570" s="1" t="s">
        <v>524</v>
      </c>
      <c r="G570" s="1">
        <v>37404</v>
      </c>
      <c r="H570" s="1" t="s">
        <v>525</v>
      </c>
    </row>
    <row r="571" spans="1:8" x14ac:dyDescent="0.35">
      <c r="A571" s="1" t="s">
        <v>2245</v>
      </c>
      <c r="B571" s="1" t="s">
        <v>2246</v>
      </c>
      <c r="C571" s="1" t="s">
        <v>521</v>
      </c>
      <c r="D571" s="1" t="s">
        <v>2247</v>
      </c>
      <c r="E571" s="1" t="s">
        <v>2185</v>
      </c>
      <c r="F571" s="1" t="s">
        <v>524</v>
      </c>
      <c r="G571" s="1">
        <v>37343</v>
      </c>
      <c r="H571" s="1" t="s">
        <v>525</v>
      </c>
    </row>
    <row r="572" spans="1:8" x14ac:dyDescent="0.35">
      <c r="A572" s="1" t="s">
        <v>177</v>
      </c>
      <c r="B572" s="1" t="s">
        <v>2248</v>
      </c>
      <c r="C572" s="1" t="s">
        <v>521</v>
      </c>
      <c r="D572" s="1" t="s">
        <v>2249</v>
      </c>
      <c r="E572" s="1" t="s">
        <v>2171</v>
      </c>
      <c r="F572" s="1" t="s">
        <v>524</v>
      </c>
      <c r="G572" s="1">
        <v>37406</v>
      </c>
      <c r="H572" s="1" t="s">
        <v>525</v>
      </c>
    </row>
    <row r="573" spans="1:8" x14ac:dyDescent="0.35">
      <c r="A573" s="1" t="s">
        <v>2250</v>
      </c>
      <c r="B573" s="1" t="s">
        <v>2251</v>
      </c>
      <c r="C573" s="1" t="s">
        <v>521</v>
      </c>
      <c r="D573" s="1" t="s">
        <v>2252</v>
      </c>
      <c r="E573" s="1" t="s">
        <v>2194</v>
      </c>
      <c r="F573" s="1" t="s">
        <v>524</v>
      </c>
      <c r="G573" s="1">
        <v>37341</v>
      </c>
      <c r="H573" s="1" t="s">
        <v>525</v>
      </c>
    </row>
    <row r="574" spans="1:8" x14ac:dyDescent="0.35">
      <c r="A574" s="1" t="s">
        <v>178</v>
      </c>
      <c r="B574" s="1" t="s">
        <v>2253</v>
      </c>
      <c r="C574" s="1" t="s">
        <v>521</v>
      </c>
      <c r="D574" s="1" t="s">
        <v>2254</v>
      </c>
      <c r="E574" s="1" t="s">
        <v>2226</v>
      </c>
      <c r="F574" s="1" t="s">
        <v>524</v>
      </c>
      <c r="G574" s="1">
        <v>37363</v>
      </c>
      <c r="H574" s="1" t="s">
        <v>525</v>
      </c>
    </row>
    <row r="575" spans="1:8" x14ac:dyDescent="0.35">
      <c r="A575" s="1" t="s">
        <v>2255</v>
      </c>
      <c r="B575" s="1" t="s">
        <v>2256</v>
      </c>
      <c r="C575" s="1" t="s">
        <v>521</v>
      </c>
      <c r="D575" s="1" t="s">
        <v>2257</v>
      </c>
      <c r="E575" s="1" t="s">
        <v>2171</v>
      </c>
      <c r="F575" s="1" t="s">
        <v>524</v>
      </c>
      <c r="G575" s="1">
        <v>37411</v>
      </c>
      <c r="H575" s="1" t="s">
        <v>525</v>
      </c>
    </row>
    <row r="576" spans="1:8" x14ac:dyDescent="0.35">
      <c r="A576" s="1" t="s">
        <v>2258</v>
      </c>
      <c r="B576" s="1" t="s">
        <v>2259</v>
      </c>
      <c r="C576" s="1" t="s">
        <v>521</v>
      </c>
      <c r="D576" s="1" t="s">
        <v>2260</v>
      </c>
      <c r="E576" s="1" t="s">
        <v>2226</v>
      </c>
      <c r="F576" s="1" t="s">
        <v>524</v>
      </c>
      <c r="G576" s="1">
        <v>37363</v>
      </c>
      <c r="H576" s="1" t="s">
        <v>525</v>
      </c>
    </row>
    <row r="577" spans="1:8" x14ac:dyDescent="0.35">
      <c r="A577" s="1" t="s">
        <v>2261</v>
      </c>
      <c r="B577" s="1" t="s">
        <v>2262</v>
      </c>
      <c r="C577" s="1" t="s">
        <v>521</v>
      </c>
      <c r="D577" s="1" t="s">
        <v>2263</v>
      </c>
      <c r="E577" s="1" t="s">
        <v>2171</v>
      </c>
      <c r="F577" s="1" t="s">
        <v>524</v>
      </c>
      <c r="G577" s="1">
        <v>37406</v>
      </c>
      <c r="H577" s="1" t="s">
        <v>525</v>
      </c>
    </row>
    <row r="578" spans="1:8" x14ac:dyDescent="0.35">
      <c r="A578" s="1" t="s">
        <v>2264</v>
      </c>
      <c r="B578" s="1" t="s">
        <v>2265</v>
      </c>
      <c r="C578" s="1" t="s">
        <v>521</v>
      </c>
      <c r="D578" s="1" t="s">
        <v>2266</v>
      </c>
      <c r="E578" s="1" t="s">
        <v>2185</v>
      </c>
      <c r="F578" s="1" t="s">
        <v>524</v>
      </c>
      <c r="G578" s="1">
        <v>37343</v>
      </c>
      <c r="H578" s="1" t="s">
        <v>525</v>
      </c>
    </row>
    <row r="579" spans="1:8" x14ac:dyDescent="0.35">
      <c r="A579" s="1" t="s">
        <v>2267</v>
      </c>
      <c r="B579" s="1" t="s">
        <v>2268</v>
      </c>
      <c r="C579" s="1" t="s">
        <v>521</v>
      </c>
      <c r="D579" s="1" t="s">
        <v>2269</v>
      </c>
      <c r="E579" s="1" t="s">
        <v>2270</v>
      </c>
      <c r="F579" s="1" t="s">
        <v>524</v>
      </c>
      <c r="G579" s="1">
        <v>37350</v>
      </c>
      <c r="H579" s="1" t="s">
        <v>525</v>
      </c>
    </row>
    <row r="580" spans="1:8" x14ac:dyDescent="0.35">
      <c r="A580" s="1" t="s">
        <v>2271</v>
      </c>
      <c r="B580" s="1" t="s">
        <v>2272</v>
      </c>
      <c r="C580" s="1" t="s">
        <v>521</v>
      </c>
      <c r="D580" s="1" t="s">
        <v>2273</v>
      </c>
      <c r="E580" s="1" t="s">
        <v>2185</v>
      </c>
      <c r="F580" s="1" t="s">
        <v>524</v>
      </c>
      <c r="G580" s="1">
        <v>37343</v>
      </c>
      <c r="H580" s="1" t="s">
        <v>525</v>
      </c>
    </row>
    <row r="581" spans="1:8" x14ac:dyDescent="0.35">
      <c r="A581" s="1" t="s">
        <v>179</v>
      </c>
      <c r="B581" s="1" t="s">
        <v>2274</v>
      </c>
      <c r="C581" s="1" t="s">
        <v>521</v>
      </c>
      <c r="D581" s="1" t="s">
        <v>2275</v>
      </c>
      <c r="E581" s="1" t="s">
        <v>2185</v>
      </c>
      <c r="F581" s="1" t="s">
        <v>524</v>
      </c>
      <c r="G581" s="1">
        <v>37343</v>
      </c>
      <c r="H581" s="1" t="s">
        <v>525</v>
      </c>
    </row>
    <row r="582" spans="1:8" x14ac:dyDescent="0.35">
      <c r="A582" s="1" t="s">
        <v>2276</v>
      </c>
      <c r="B582" s="1" t="s">
        <v>2277</v>
      </c>
      <c r="C582" s="1" t="s">
        <v>521</v>
      </c>
      <c r="D582" s="1" t="s">
        <v>2278</v>
      </c>
      <c r="E582" s="1" t="s">
        <v>2185</v>
      </c>
      <c r="F582" s="1" t="s">
        <v>524</v>
      </c>
      <c r="G582" s="1">
        <v>37343</v>
      </c>
      <c r="H582" s="1" t="s">
        <v>525</v>
      </c>
    </row>
    <row r="583" spans="1:8" x14ac:dyDescent="0.35">
      <c r="A583" s="1" t="s">
        <v>2279</v>
      </c>
      <c r="B583" s="1" t="s">
        <v>2124</v>
      </c>
      <c r="C583" s="1" t="s">
        <v>521</v>
      </c>
      <c r="D583" s="1" t="s">
        <v>2280</v>
      </c>
      <c r="E583" s="1" t="s">
        <v>2171</v>
      </c>
      <c r="F583" s="1" t="s">
        <v>524</v>
      </c>
      <c r="G583" s="1">
        <v>37416</v>
      </c>
      <c r="H583" s="1" t="s">
        <v>525</v>
      </c>
    </row>
    <row r="584" spans="1:8" x14ac:dyDescent="0.35">
      <c r="A584" s="1" t="s">
        <v>180</v>
      </c>
      <c r="B584" s="1" t="s">
        <v>2281</v>
      </c>
      <c r="C584" s="1" t="s">
        <v>521</v>
      </c>
      <c r="D584" s="1" t="s">
        <v>2282</v>
      </c>
      <c r="E584" s="1" t="s">
        <v>2171</v>
      </c>
      <c r="F584" s="1" t="s">
        <v>524</v>
      </c>
      <c r="G584" s="1">
        <v>37408</v>
      </c>
      <c r="H584" s="1" t="s">
        <v>525</v>
      </c>
    </row>
    <row r="585" spans="1:8" x14ac:dyDescent="0.35">
      <c r="A585" s="1" t="s">
        <v>2283</v>
      </c>
      <c r="B585" s="1" t="s">
        <v>2284</v>
      </c>
      <c r="C585" s="1" t="s">
        <v>521</v>
      </c>
      <c r="D585" s="1" t="s">
        <v>2285</v>
      </c>
      <c r="E585" s="1" t="s">
        <v>2286</v>
      </c>
      <c r="F585" s="1" t="s">
        <v>524</v>
      </c>
      <c r="G585" s="1">
        <v>37373</v>
      </c>
      <c r="H585" s="1" t="s">
        <v>525</v>
      </c>
    </row>
    <row r="586" spans="1:8" x14ac:dyDescent="0.35">
      <c r="A586" s="1" t="s">
        <v>2287</v>
      </c>
      <c r="B586" s="1" t="s">
        <v>2288</v>
      </c>
      <c r="C586" s="1" t="s">
        <v>521</v>
      </c>
      <c r="D586" s="1" t="s">
        <v>2289</v>
      </c>
      <c r="E586" s="1" t="s">
        <v>2226</v>
      </c>
      <c r="F586" s="1" t="s">
        <v>524</v>
      </c>
      <c r="G586" s="1">
        <v>37363</v>
      </c>
      <c r="H586" s="1" t="s">
        <v>525</v>
      </c>
    </row>
    <row r="587" spans="1:8" x14ac:dyDescent="0.35">
      <c r="A587" s="1" t="s">
        <v>2290</v>
      </c>
      <c r="B587" s="1" t="s">
        <v>2291</v>
      </c>
      <c r="C587" s="1" t="s">
        <v>521</v>
      </c>
      <c r="D587" s="1" t="s">
        <v>2292</v>
      </c>
      <c r="E587" s="1" t="s">
        <v>2293</v>
      </c>
      <c r="F587" s="1" t="s">
        <v>524</v>
      </c>
      <c r="G587" s="1">
        <v>37377</v>
      </c>
      <c r="H587" s="1" t="s">
        <v>525</v>
      </c>
    </row>
    <row r="588" spans="1:8" x14ac:dyDescent="0.35">
      <c r="A588" s="1" t="s">
        <v>2294</v>
      </c>
      <c r="B588" s="1" t="s">
        <v>2295</v>
      </c>
      <c r="C588" s="1" t="s">
        <v>521</v>
      </c>
      <c r="D588" s="1" t="s">
        <v>2296</v>
      </c>
      <c r="E588" s="1" t="s">
        <v>2226</v>
      </c>
      <c r="F588" s="1" t="s">
        <v>524</v>
      </c>
      <c r="G588" s="1">
        <v>37363</v>
      </c>
      <c r="H588" s="1" t="s">
        <v>525</v>
      </c>
    </row>
    <row r="589" spans="1:8" x14ac:dyDescent="0.35">
      <c r="A589" s="1" t="s">
        <v>2297</v>
      </c>
      <c r="B589" s="1" t="s">
        <v>2298</v>
      </c>
      <c r="C589" s="1" t="s">
        <v>521</v>
      </c>
      <c r="D589" s="1" t="s">
        <v>2299</v>
      </c>
      <c r="E589" s="1" t="s">
        <v>2226</v>
      </c>
      <c r="F589" s="1" t="s">
        <v>524</v>
      </c>
      <c r="G589" s="1">
        <v>37363</v>
      </c>
      <c r="H589" s="1" t="s">
        <v>525</v>
      </c>
    </row>
    <row r="590" spans="1:8" x14ac:dyDescent="0.35">
      <c r="A590" s="1" t="s">
        <v>2300</v>
      </c>
      <c r="B590" s="1" t="s">
        <v>2301</v>
      </c>
      <c r="C590" s="1" t="s">
        <v>521</v>
      </c>
      <c r="D590" s="1" t="s">
        <v>2302</v>
      </c>
      <c r="E590" s="1" t="s">
        <v>2171</v>
      </c>
      <c r="F590" s="1" t="s">
        <v>524</v>
      </c>
      <c r="G590" s="1">
        <v>37416</v>
      </c>
      <c r="H590" s="1" t="s">
        <v>525</v>
      </c>
    </row>
    <row r="591" spans="1:8" x14ac:dyDescent="0.35">
      <c r="A591" s="1" t="s">
        <v>181</v>
      </c>
      <c r="B591" s="1" t="s">
        <v>2303</v>
      </c>
      <c r="C591" s="1" t="s">
        <v>521</v>
      </c>
      <c r="D591" s="1" t="s">
        <v>2304</v>
      </c>
      <c r="E591" s="1" t="s">
        <v>2226</v>
      </c>
      <c r="F591" s="1" t="s">
        <v>524</v>
      </c>
      <c r="G591" s="1">
        <v>37363</v>
      </c>
      <c r="H591" s="1" t="s">
        <v>525</v>
      </c>
    </row>
    <row r="592" spans="1:8" x14ac:dyDescent="0.35">
      <c r="A592" s="1" t="s">
        <v>2305</v>
      </c>
      <c r="B592" s="1" t="s">
        <v>2306</v>
      </c>
      <c r="C592" s="1" t="s">
        <v>521</v>
      </c>
      <c r="D592" s="1" t="s">
        <v>2307</v>
      </c>
      <c r="E592" s="1" t="s">
        <v>2171</v>
      </c>
      <c r="F592" s="1" t="s">
        <v>524</v>
      </c>
      <c r="G592" s="1">
        <v>37421</v>
      </c>
      <c r="H592" s="1" t="s">
        <v>525</v>
      </c>
    </row>
    <row r="593" spans="1:8" x14ac:dyDescent="0.35">
      <c r="A593" s="1" t="s">
        <v>182</v>
      </c>
      <c r="B593" s="1" t="s">
        <v>2308</v>
      </c>
      <c r="C593" s="1" t="s">
        <v>521</v>
      </c>
      <c r="D593" s="1" t="s">
        <v>2309</v>
      </c>
      <c r="E593" s="1" t="s">
        <v>2171</v>
      </c>
      <c r="F593" s="1" t="s">
        <v>524</v>
      </c>
      <c r="G593" s="1">
        <v>37419</v>
      </c>
      <c r="H593" s="1" t="s">
        <v>525</v>
      </c>
    </row>
    <row r="594" spans="1:8" x14ac:dyDescent="0.35">
      <c r="A594" s="1" t="s">
        <v>2310</v>
      </c>
      <c r="B594" s="1" t="s">
        <v>2311</v>
      </c>
      <c r="C594" s="1" t="s">
        <v>521</v>
      </c>
      <c r="D594" s="1" t="s">
        <v>2312</v>
      </c>
      <c r="E594" s="1" t="s">
        <v>2171</v>
      </c>
      <c r="F594" s="1" t="s">
        <v>524</v>
      </c>
      <c r="G594" s="1">
        <v>37405</v>
      </c>
      <c r="H594" s="1" t="s">
        <v>525</v>
      </c>
    </row>
    <row r="595" spans="1:8" x14ac:dyDescent="0.35">
      <c r="A595" s="1" t="s">
        <v>183</v>
      </c>
      <c r="B595" s="1" t="s">
        <v>2313</v>
      </c>
      <c r="C595" s="1" t="s">
        <v>521</v>
      </c>
      <c r="D595" s="1" t="s">
        <v>2314</v>
      </c>
      <c r="E595" s="1" t="s">
        <v>2171</v>
      </c>
      <c r="F595" s="1" t="s">
        <v>524</v>
      </c>
      <c r="G595" s="1">
        <v>37415</v>
      </c>
      <c r="H595" s="1" t="s">
        <v>525</v>
      </c>
    </row>
    <row r="596" spans="1:8" x14ac:dyDescent="0.35">
      <c r="A596" s="1" t="s">
        <v>2315</v>
      </c>
      <c r="B596" s="1" t="s">
        <v>2316</v>
      </c>
      <c r="C596" s="1" t="s">
        <v>521</v>
      </c>
      <c r="D596" s="1" t="s">
        <v>2317</v>
      </c>
      <c r="E596" s="1" t="s">
        <v>2171</v>
      </c>
      <c r="F596" s="1" t="s">
        <v>524</v>
      </c>
      <c r="G596" s="1">
        <v>37415</v>
      </c>
      <c r="H596" s="1" t="s">
        <v>525</v>
      </c>
    </row>
    <row r="597" spans="1:8" x14ac:dyDescent="0.35">
      <c r="A597" s="1" t="s">
        <v>2318</v>
      </c>
      <c r="B597" s="1" t="s">
        <v>2319</v>
      </c>
      <c r="C597" s="1" t="s">
        <v>521</v>
      </c>
      <c r="D597" s="1" t="s">
        <v>2320</v>
      </c>
      <c r="E597" s="1" t="s">
        <v>2171</v>
      </c>
      <c r="F597" s="1" t="s">
        <v>524</v>
      </c>
      <c r="G597" s="1">
        <v>37415</v>
      </c>
      <c r="H597" s="1" t="s">
        <v>525</v>
      </c>
    </row>
    <row r="598" spans="1:8" x14ac:dyDescent="0.35">
      <c r="A598" s="1" t="s">
        <v>184</v>
      </c>
      <c r="B598" s="1" t="s">
        <v>2321</v>
      </c>
      <c r="C598" s="1" t="s">
        <v>521</v>
      </c>
      <c r="D598" s="1" t="s">
        <v>2322</v>
      </c>
      <c r="E598" s="1" t="s">
        <v>2286</v>
      </c>
      <c r="F598" s="1" t="s">
        <v>524</v>
      </c>
      <c r="G598" s="1">
        <v>37373</v>
      </c>
      <c r="H598" s="1" t="s">
        <v>525</v>
      </c>
    </row>
    <row r="599" spans="1:8" x14ac:dyDescent="0.35">
      <c r="A599" s="1" t="s">
        <v>2323</v>
      </c>
      <c r="B599" s="1" t="s">
        <v>2324</v>
      </c>
      <c r="C599" s="1" t="s">
        <v>521</v>
      </c>
      <c r="D599" s="1" t="s">
        <v>2325</v>
      </c>
      <c r="E599" s="1" t="s">
        <v>2171</v>
      </c>
      <c r="F599" s="1" t="s">
        <v>524</v>
      </c>
      <c r="G599" s="1">
        <v>37404</v>
      </c>
      <c r="H599" s="1" t="s">
        <v>525</v>
      </c>
    </row>
    <row r="600" spans="1:8" x14ac:dyDescent="0.35">
      <c r="A600" s="1" t="s">
        <v>185</v>
      </c>
      <c r="B600" s="1" t="s">
        <v>2326</v>
      </c>
      <c r="C600" s="1" t="s">
        <v>521</v>
      </c>
      <c r="D600" s="1" t="s">
        <v>2327</v>
      </c>
      <c r="E600" s="1" t="s">
        <v>2167</v>
      </c>
      <c r="F600" s="1" t="s">
        <v>524</v>
      </c>
      <c r="G600" s="1">
        <v>37379</v>
      </c>
      <c r="H600" s="1" t="s">
        <v>525</v>
      </c>
    </row>
    <row r="601" spans="1:8" x14ac:dyDescent="0.35">
      <c r="A601" s="1" t="s">
        <v>2328</v>
      </c>
      <c r="B601" s="1" t="s">
        <v>2329</v>
      </c>
      <c r="C601" s="1" t="s">
        <v>521</v>
      </c>
      <c r="D601" s="1" t="s">
        <v>2330</v>
      </c>
      <c r="E601" s="1" t="s">
        <v>2171</v>
      </c>
      <c r="F601" s="1" t="s">
        <v>524</v>
      </c>
      <c r="G601" s="1">
        <v>37404</v>
      </c>
      <c r="H601" s="1" t="s">
        <v>525</v>
      </c>
    </row>
    <row r="602" spans="1:8" x14ac:dyDescent="0.35">
      <c r="A602" s="1" t="s">
        <v>186</v>
      </c>
      <c r="B602" s="1" t="s">
        <v>2331</v>
      </c>
      <c r="C602" s="1" t="s">
        <v>521</v>
      </c>
      <c r="D602" s="1" t="s">
        <v>2332</v>
      </c>
      <c r="E602" s="1" t="s">
        <v>2293</v>
      </c>
      <c r="F602" s="1" t="s">
        <v>524</v>
      </c>
      <c r="G602" s="1">
        <v>37377</v>
      </c>
      <c r="H602" s="1" t="s">
        <v>525</v>
      </c>
    </row>
    <row r="603" spans="1:8" x14ac:dyDescent="0.35">
      <c r="A603" s="1" t="s">
        <v>2333</v>
      </c>
      <c r="B603" s="1" t="s">
        <v>2334</v>
      </c>
      <c r="C603" s="1" t="s">
        <v>521</v>
      </c>
      <c r="D603" s="1" t="s">
        <v>2335</v>
      </c>
      <c r="E603" s="1" t="s">
        <v>2226</v>
      </c>
      <c r="F603" s="1" t="s">
        <v>524</v>
      </c>
      <c r="G603" s="1">
        <v>37363</v>
      </c>
      <c r="H603" s="1" t="s">
        <v>525</v>
      </c>
    </row>
    <row r="604" spans="1:8" x14ac:dyDescent="0.35">
      <c r="A604" s="1" t="s">
        <v>187</v>
      </c>
      <c r="B604" s="1" t="s">
        <v>2336</v>
      </c>
      <c r="C604" s="1" t="s">
        <v>521</v>
      </c>
      <c r="D604" s="1" t="s">
        <v>2337</v>
      </c>
      <c r="E604" s="1" t="s">
        <v>2167</v>
      </c>
      <c r="F604" s="1" t="s">
        <v>524</v>
      </c>
      <c r="G604" s="1">
        <v>37379</v>
      </c>
      <c r="H604" s="1" t="s">
        <v>525</v>
      </c>
    </row>
    <row r="605" spans="1:8" x14ac:dyDescent="0.35">
      <c r="A605" s="1" t="s">
        <v>2338</v>
      </c>
      <c r="B605" s="1" t="s">
        <v>2339</v>
      </c>
      <c r="C605" s="1" t="s">
        <v>521</v>
      </c>
      <c r="D605" s="1" t="s">
        <v>2340</v>
      </c>
      <c r="E605" s="1" t="s">
        <v>2167</v>
      </c>
      <c r="F605" s="1" t="s">
        <v>524</v>
      </c>
      <c r="G605" s="1">
        <v>37379</v>
      </c>
      <c r="H605" s="1" t="s">
        <v>525</v>
      </c>
    </row>
    <row r="606" spans="1:8" x14ac:dyDescent="0.35">
      <c r="A606" s="1" t="s">
        <v>2341</v>
      </c>
      <c r="B606" s="1" t="s">
        <v>2342</v>
      </c>
      <c r="C606" s="1" t="s">
        <v>521</v>
      </c>
      <c r="D606" s="1" t="s">
        <v>2343</v>
      </c>
      <c r="E606" s="1" t="s">
        <v>2167</v>
      </c>
      <c r="F606" s="1" t="s">
        <v>524</v>
      </c>
      <c r="G606" s="1">
        <v>37379</v>
      </c>
      <c r="H606" s="1" t="s">
        <v>525</v>
      </c>
    </row>
    <row r="607" spans="1:8" x14ac:dyDescent="0.35">
      <c r="A607" s="1" t="s">
        <v>2344</v>
      </c>
      <c r="B607" s="1" t="s">
        <v>2345</v>
      </c>
      <c r="C607" s="1" t="s">
        <v>521</v>
      </c>
      <c r="D607" s="1" t="s">
        <v>2346</v>
      </c>
      <c r="E607" s="1" t="s">
        <v>2171</v>
      </c>
      <c r="F607" s="1" t="s">
        <v>524</v>
      </c>
      <c r="G607" s="1">
        <v>37412</v>
      </c>
      <c r="H607" s="1" t="s">
        <v>525</v>
      </c>
    </row>
    <row r="608" spans="1:8" x14ac:dyDescent="0.35">
      <c r="A608" s="1" t="s">
        <v>188</v>
      </c>
      <c r="B608" s="1" t="s">
        <v>2347</v>
      </c>
      <c r="C608" s="1" t="s">
        <v>521</v>
      </c>
      <c r="D608" s="1" t="s">
        <v>2348</v>
      </c>
      <c r="E608" s="1" t="s">
        <v>2171</v>
      </c>
      <c r="F608" s="1" t="s">
        <v>524</v>
      </c>
      <c r="G608" s="1">
        <v>37421</v>
      </c>
      <c r="H608" s="1" t="s">
        <v>525</v>
      </c>
    </row>
    <row r="609" spans="1:8" x14ac:dyDescent="0.35">
      <c r="A609" s="1" t="s">
        <v>2349</v>
      </c>
      <c r="B609" s="1" t="s">
        <v>2350</v>
      </c>
      <c r="C609" s="1" t="s">
        <v>521</v>
      </c>
      <c r="D609" s="1" t="s">
        <v>2351</v>
      </c>
      <c r="E609" s="1" t="s">
        <v>2171</v>
      </c>
      <c r="F609" s="1" t="s">
        <v>524</v>
      </c>
      <c r="G609" s="1">
        <v>37421</v>
      </c>
      <c r="H609" s="1" t="s">
        <v>525</v>
      </c>
    </row>
    <row r="610" spans="1:8" x14ac:dyDescent="0.35">
      <c r="A610" s="1" t="s">
        <v>2352</v>
      </c>
      <c r="B610" s="1" t="s">
        <v>2353</v>
      </c>
      <c r="C610" s="1" t="s">
        <v>521</v>
      </c>
      <c r="D610" s="1" t="s">
        <v>2354</v>
      </c>
      <c r="E610" s="1" t="s">
        <v>2355</v>
      </c>
      <c r="F610" s="1" t="s">
        <v>524</v>
      </c>
      <c r="G610" s="1">
        <v>37377</v>
      </c>
      <c r="H610" s="1" t="s">
        <v>525</v>
      </c>
    </row>
    <row r="611" spans="1:8" x14ac:dyDescent="0.35">
      <c r="A611" s="1" t="s">
        <v>2356</v>
      </c>
      <c r="B611" s="1" t="s">
        <v>2357</v>
      </c>
      <c r="C611" s="1" t="s">
        <v>521</v>
      </c>
      <c r="D611" s="1" t="s">
        <v>2358</v>
      </c>
      <c r="E611" s="1" t="s">
        <v>2171</v>
      </c>
      <c r="F611" s="1" t="s">
        <v>524</v>
      </c>
      <c r="G611" s="1">
        <v>37419</v>
      </c>
      <c r="H611" s="1" t="s">
        <v>525</v>
      </c>
    </row>
    <row r="612" spans="1:8" x14ac:dyDescent="0.35">
      <c r="A612" s="1" t="s">
        <v>2359</v>
      </c>
      <c r="B612" s="1" t="s">
        <v>2360</v>
      </c>
      <c r="C612" s="1" t="s">
        <v>521</v>
      </c>
      <c r="D612" s="1" t="s">
        <v>2361</v>
      </c>
      <c r="E612" s="1" t="s">
        <v>2171</v>
      </c>
      <c r="F612" s="1" t="s">
        <v>524</v>
      </c>
      <c r="G612" s="1">
        <v>37411</v>
      </c>
      <c r="H612" s="1" t="s">
        <v>525</v>
      </c>
    </row>
    <row r="613" spans="1:8" x14ac:dyDescent="0.35">
      <c r="A613" s="1" t="s">
        <v>2362</v>
      </c>
      <c r="B613" s="1" t="s">
        <v>2363</v>
      </c>
      <c r="C613" s="1" t="s">
        <v>521</v>
      </c>
      <c r="D613" s="1" t="s">
        <v>2364</v>
      </c>
      <c r="E613" s="1" t="s">
        <v>2226</v>
      </c>
      <c r="F613" s="1" t="s">
        <v>524</v>
      </c>
      <c r="G613" s="1">
        <v>37363</v>
      </c>
      <c r="H613" s="1" t="s">
        <v>525</v>
      </c>
    </row>
    <row r="614" spans="1:8" x14ac:dyDescent="0.35">
      <c r="A614" s="1" t="s">
        <v>2365</v>
      </c>
      <c r="B614" s="1" t="s">
        <v>2366</v>
      </c>
      <c r="C614" s="1" t="s">
        <v>521</v>
      </c>
      <c r="D614" s="1" t="s">
        <v>2367</v>
      </c>
      <c r="E614" s="1" t="s">
        <v>2171</v>
      </c>
      <c r="F614" s="1" t="s">
        <v>524</v>
      </c>
      <c r="G614" s="1">
        <v>37421</v>
      </c>
      <c r="H614" s="1" t="s">
        <v>525</v>
      </c>
    </row>
    <row r="615" spans="1:8" x14ac:dyDescent="0.35">
      <c r="A615" s="1" t="s">
        <v>189</v>
      </c>
      <c r="B615" s="1" t="s">
        <v>2368</v>
      </c>
      <c r="C615" s="1" t="s">
        <v>521</v>
      </c>
      <c r="D615" s="1" t="s">
        <v>2369</v>
      </c>
      <c r="E615" s="1" t="s">
        <v>2171</v>
      </c>
      <c r="F615" s="1" t="s">
        <v>524</v>
      </c>
      <c r="G615" s="1">
        <v>37421</v>
      </c>
      <c r="H615" s="1" t="s">
        <v>525</v>
      </c>
    </row>
    <row r="616" spans="1:8" x14ac:dyDescent="0.35">
      <c r="A616" s="1" t="s">
        <v>190</v>
      </c>
      <c r="B616" s="1" t="s">
        <v>2370</v>
      </c>
      <c r="C616" s="1" t="s">
        <v>521</v>
      </c>
      <c r="D616" s="1" t="s">
        <v>2249</v>
      </c>
      <c r="E616" s="1" t="s">
        <v>2171</v>
      </c>
      <c r="F616" s="1" t="s">
        <v>524</v>
      </c>
      <c r="G616" s="1">
        <v>37406</v>
      </c>
      <c r="H616" s="1" t="s">
        <v>525</v>
      </c>
    </row>
    <row r="617" spans="1:8" x14ac:dyDescent="0.35">
      <c r="A617" s="1" t="s">
        <v>191</v>
      </c>
      <c r="B617" s="1" t="s">
        <v>2371</v>
      </c>
      <c r="C617" s="1" t="s">
        <v>1639</v>
      </c>
      <c r="D617" s="1" t="s">
        <v>2372</v>
      </c>
      <c r="E617" s="1" t="s">
        <v>2171</v>
      </c>
      <c r="F617" s="1" t="s">
        <v>524</v>
      </c>
      <c r="G617" s="1">
        <v>37404</v>
      </c>
      <c r="H617" s="1" t="s">
        <v>1641</v>
      </c>
    </row>
    <row r="618" spans="1:8" x14ac:dyDescent="0.35">
      <c r="A618" s="1" t="s">
        <v>192</v>
      </c>
      <c r="B618" s="1" t="s">
        <v>2373</v>
      </c>
      <c r="C618" s="1" t="s">
        <v>1639</v>
      </c>
      <c r="D618" s="1" t="s">
        <v>2374</v>
      </c>
      <c r="E618" s="1" t="s">
        <v>2167</v>
      </c>
      <c r="F618" s="1" t="s">
        <v>524</v>
      </c>
      <c r="G618" s="1">
        <v>37379</v>
      </c>
      <c r="H618" s="1" t="s">
        <v>1641</v>
      </c>
    </row>
    <row r="619" spans="1:8" x14ac:dyDescent="0.35">
      <c r="A619" s="1" t="s">
        <v>2375</v>
      </c>
      <c r="B619" s="1" t="s">
        <v>2376</v>
      </c>
      <c r="C619" s="1" t="s">
        <v>1639</v>
      </c>
      <c r="D619" s="1" t="s">
        <v>2377</v>
      </c>
      <c r="E619" s="1" t="s">
        <v>2171</v>
      </c>
      <c r="F619" s="1" t="s">
        <v>524</v>
      </c>
      <c r="G619" s="1">
        <v>37411</v>
      </c>
      <c r="H619" s="1" t="s">
        <v>1641</v>
      </c>
    </row>
    <row r="620" spans="1:8" x14ac:dyDescent="0.35">
      <c r="A620" s="1" t="s">
        <v>2378</v>
      </c>
      <c r="B620" s="1" t="s">
        <v>2379</v>
      </c>
      <c r="C620" s="1" t="s">
        <v>1639</v>
      </c>
      <c r="D620" s="1" t="s">
        <v>2380</v>
      </c>
      <c r="E620" s="1" t="s">
        <v>2171</v>
      </c>
      <c r="F620" s="1" t="s">
        <v>524</v>
      </c>
      <c r="G620" s="1">
        <v>37404</v>
      </c>
      <c r="H620" s="1" t="s">
        <v>1641</v>
      </c>
    </row>
    <row r="621" spans="1:8" x14ac:dyDescent="0.35">
      <c r="A621" s="1" t="s">
        <v>2381</v>
      </c>
      <c r="B621" s="1" t="s">
        <v>2382</v>
      </c>
      <c r="C621" s="1" t="s">
        <v>521</v>
      </c>
      <c r="D621" s="1" t="s">
        <v>2383</v>
      </c>
      <c r="E621" s="1" t="s">
        <v>2384</v>
      </c>
      <c r="F621" s="1" t="s">
        <v>524</v>
      </c>
      <c r="G621" s="1">
        <v>37869</v>
      </c>
      <c r="H621" s="1" t="s">
        <v>525</v>
      </c>
    </row>
    <row r="622" spans="1:8" x14ac:dyDescent="0.35">
      <c r="A622" s="1" t="s">
        <v>193</v>
      </c>
      <c r="B622" s="1" t="s">
        <v>2385</v>
      </c>
      <c r="C622" s="1" t="s">
        <v>521</v>
      </c>
      <c r="D622" s="1" t="s">
        <v>2386</v>
      </c>
      <c r="E622" s="1" t="s">
        <v>2384</v>
      </c>
      <c r="F622" s="1" t="s">
        <v>524</v>
      </c>
      <c r="G622" s="1">
        <v>37869</v>
      </c>
      <c r="H622" s="1" t="s">
        <v>525</v>
      </c>
    </row>
    <row r="623" spans="1:8" x14ac:dyDescent="0.35">
      <c r="A623" s="1" t="s">
        <v>2387</v>
      </c>
      <c r="B623" s="1" t="s">
        <v>2388</v>
      </c>
      <c r="C623" s="1" t="s">
        <v>521</v>
      </c>
      <c r="D623" s="1" t="s">
        <v>2389</v>
      </c>
      <c r="E623" s="1" t="s">
        <v>2390</v>
      </c>
      <c r="F623" s="1" t="s">
        <v>524</v>
      </c>
      <c r="G623" s="1">
        <v>38008</v>
      </c>
      <c r="H623" s="1" t="s">
        <v>525</v>
      </c>
    </row>
    <row r="624" spans="1:8" x14ac:dyDescent="0.35">
      <c r="A624" s="1" t="s">
        <v>2391</v>
      </c>
      <c r="B624" s="1" t="s">
        <v>2392</v>
      </c>
      <c r="C624" s="1" t="s">
        <v>521</v>
      </c>
      <c r="D624" s="1" t="s">
        <v>2393</v>
      </c>
      <c r="E624" s="1" t="s">
        <v>2390</v>
      </c>
      <c r="F624" s="1" t="s">
        <v>524</v>
      </c>
      <c r="G624" s="1">
        <v>38008</v>
      </c>
      <c r="H624" s="1" t="s">
        <v>525</v>
      </c>
    </row>
    <row r="625" spans="1:8" x14ac:dyDescent="0.35">
      <c r="A625" s="1" t="s">
        <v>195</v>
      </c>
      <c r="B625" s="1" t="s">
        <v>915</v>
      </c>
      <c r="C625" s="1" t="s">
        <v>521</v>
      </c>
      <c r="D625" s="1" t="s">
        <v>2394</v>
      </c>
      <c r="E625" s="1" t="s">
        <v>2390</v>
      </c>
      <c r="F625" s="1" t="s">
        <v>524</v>
      </c>
      <c r="G625" s="1">
        <v>38008</v>
      </c>
      <c r="H625" s="1" t="s">
        <v>525</v>
      </c>
    </row>
    <row r="626" spans="1:8" x14ac:dyDescent="0.35">
      <c r="A626" s="1" t="s">
        <v>2395</v>
      </c>
      <c r="B626" s="1" t="s">
        <v>2396</v>
      </c>
      <c r="C626" s="1" t="s">
        <v>521</v>
      </c>
      <c r="D626" s="1" t="s">
        <v>2397</v>
      </c>
      <c r="E626" s="1" t="s">
        <v>2398</v>
      </c>
      <c r="F626" s="1" t="s">
        <v>524</v>
      </c>
      <c r="G626" s="1">
        <v>38039</v>
      </c>
      <c r="H626" s="1" t="s">
        <v>525</v>
      </c>
    </row>
    <row r="627" spans="1:8" x14ac:dyDescent="0.35">
      <c r="A627" s="1" t="s">
        <v>2399</v>
      </c>
      <c r="B627" s="1" t="s">
        <v>2400</v>
      </c>
      <c r="C627" s="1" t="s">
        <v>521</v>
      </c>
      <c r="D627" s="1" t="s">
        <v>2401</v>
      </c>
      <c r="E627" s="1" t="s">
        <v>2402</v>
      </c>
      <c r="F627" s="1" t="s">
        <v>524</v>
      </c>
      <c r="G627" s="1">
        <v>38044</v>
      </c>
      <c r="H627" s="1" t="s">
        <v>525</v>
      </c>
    </row>
    <row r="628" spans="1:8" x14ac:dyDescent="0.35">
      <c r="A628" s="1" t="s">
        <v>2403</v>
      </c>
      <c r="B628" s="1" t="s">
        <v>2404</v>
      </c>
      <c r="C628" s="1" t="s">
        <v>521</v>
      </c>
      <c r="D628" s="1" t="s">
        <v>2405</v>
      </c>
      <c r="E628" s="1" t="s">
        <v>2406</v>
      </c>
      <c r="F628" s="1" t="s">
        <v>524</v>
      </c>
      <c r="G628" s="1">
        <v>38052</v>
      </c>
      <c r="H628" s="1" t="s">
        <v>525</v>
      </c>
    </row>
    <row r="629" spans="1:8" x14ac:dyDescent="0.35">
      <c r="A629" s="1" t="s">
        <v>197</v>
      </c>
      <c r="B629" s="1" t="s">
        <v>2407</v>
      </c>
      <c r="C629" s="1" t="s">
        <v>521</v>
      </c>
      <c r="D629" s="1" t="s">
        <v>2408</v>
      </c>
      <c r="E629" s="1" t="s">
        <v>2406</v>
      </c>
      <c r="F629" s="1" t="s">
        <v>524</v>
      </c>
      <c r="G629" s="1">
        <v>38052</v>
      </c>
      <c r="H629" s="1" t="s">
        <v>525</v>
      </c>
    </row>
    <row r="630" spans="1:8" x14ac:dyDescent="0.35">
      <c r="A630" s="1" t="s">
        <v>2409</v>
      </c>
      <c r="B630" s="1" t="s">
        <v>2410</v>
      </c>
      <c r="C630" s="1" t="s">
        <v>521</v>
      </c>
      <c r="D630" s="1" t="s">
        <v>2411</v>
      </c>
      <c r="E630" s="1" t="s">
        <v>2412</v>
      </c>
      <c r="F630" s="1" t="s">
        <v>524</v>
      </c>
      <c r="G630" s="1">
        <v>38381</v>
      </c>
      <c r="H630" s="1" t="s">
        <v>525</v>
      </c>
    </row>
    <row r="631" spans="1:8" x14ac:dyDescent="0.35">
      <c r="A631" s="1" t="s">
        <v>2413</v>
      </c>
      <c r="B631" s="1" t="s">
        <v>2414</v>
      </c>
      <c r="C631" s="1" t="s">
        <v>521</v>
      </c>
      <c r="D631" s="1" t="s">
        <v>2415</v>
      </c>
      <c r="E631" s="1" t="s">
        <v>2416</v>
      </c>
      <c r="F631" s="1" t="s">
        <v>524</v>
      </c>
      <c r="G631" s="1">
        <v>38075</v>
      </c>
      <c r="H631" s="1" t="s">
        <v>525</v>
      </c>
    </row>
    <row r="632" spans="1:8" x14ac:dyDescent="0.35">
      <c r="A632" s="1" t="s">
        <v>198</v>
      </c>
      <c r="B632" s="1" t="s">
        <v>2417</v>
      </c>
      <c r="C632" s="1" t="s">
        <v>521</v>
      </c>
      <c r="D632" s="1" t="s">
        <v>2418</v>
      </c>
      <c r="E632" s="1" t="s">
        <v>2419</v>
      </c>
      <c r="F632" s="1" t="s">
        <v>524</v>
      </c>
      <c r="G632" s="1">
        <v>38372</v>
      </c>
      <c r="H632" s="1" t="s">
        <v>525</v>
      </c>
    </row>
    <row r="633" spans="1:8" x14ac:dyDescent="0.35">
      <c r="A633" s="1" t="s">
        <v>2420</v>
      </c>
      <c r="B633" s="1" t="s">
        <v>2421</v>
      </c>
      <c r="C633" s="1" t="s">
        <v>521</v>
      </c>
      <c r="D633" s="1" t="s">
        <v>2422</v>
      </c>
      <c r="E633" s="1" t="s">
        <v>2419</v>
      </c>
      <c r="F633" s="1" t="s">
        <v>524</v>
      </c>
      <c r="G633" s="1">
        <v>38372</v>
      </c>
      <c r="H633" s="1" t="s">
        <v>525</v>
      </c>
    </row>
    <row r="634" spans="1:8" x14ac:dyDescent="0.35">
      <c r="A634" s="1" t="s">
        <v>2423</v>
      </c>
      <c r="B634" s="1" t="s">
        <v>2424</v>
      </c>
      <c r="C634" s="1" t="s">
        <v>521</v>
      </c>
      <c r="D634" s="1" t="s">
        <v>2425</v>
      </c>
      <c r="E634" s="1" t="s">
        <v>2419</v>
      </c>
      <c r="F634" s="1" t="s">
        <v>524</v>
      </c>
      <c r="G634" s="1">
        <v>38372</v>
      </c>
      <c r="H634" s="1" t="s">
        <v>525</v>
      </c>
    </row>
    <row r="635" spans="1:8" x14ac:dyDescent="0.35">
      <c r="A635" s="1" t="s">
        <v>2426</v>
      </c>
      <c r="B635" s="1" t="s">
        <v>1740</v>
      </c>
      <c r="C635" s="1" t="s">
        <v>521</v>
      </c>
      <c r="D635" s="1" t="s">
        <v>2427</v>
      </c>
      <c r="E635" s="1" t="s">
        <v>2419</v>
      </c>
      <c r="F635" s="1" t="s">
        <v>524</v>
      </c>
      <c r="G635" s="1">
        <v>38372</v>
      </c>
      <c r="H635" s="1" t="s">
        <v>525</v>
      </c>
    </row>
    <row r="636" spans="1:8" x14ac:dyDescent="0.35">
      <c r="A636" s="1" t="s">
        <v>2428</v>
      </c>
      <c r="B636" s="1" t="s">
        <v>2429</v>
      </c>
      <c r="C636" s="1" t="s">
        <v>521</v>
      </c>
      <c r="D636" s="1" t="s">
        <v>2430</v>
      </c>
      <c r="E636" s="1" t="s">
        <v>2419</v>
      </c>
      <c r="F636" s="1" t="s">
        <v>524</v>
      </c>
      <c r="G636" s="1">
        <v>38372</v>
      </c>
      <c r="H636" s="1" t="s">
        <v>525</v>
      </c>
    </row>
    <row r="637" spans="1:8" x14ac:dyDescent="0.35">
      <c r="A637" s="1" t="s">
        <v>2431</v>
      </c>
      <c r="B637" s="1" t="s">
        <v>2432</v>
      </c>
      <c r="C637" s="1" t="s">
        <v>521</v>
      </c>
      <c r="D637" s="1" t="s">
        <v>2433</v>
      </c>
      <c r="E637" s="1" t="s">
        <v>2434</v>
      </c>
      <c r="F637" s="1" t="s">
        <v>524</v>
      </c>
      <c r="G637" s="1">
        <v>38326</v>
      </c>
      <c r="H637" s="1" t="s">
        <v>525</v>
      </c>
    </row>
    <row r="638" spans="1:8" x14ac:dyDescent="0.35">
      <c r="A638" s="1" t="s">
        <v>2435</v>
      </c>
      <c r="B638" s="1" t="s">
        <v>2436</v>
      </c>
      <c r="C638" s="1" t="s">
        <v>521</v>
      </c>
      <c r="D638" s="1" t="s">
        <v>2437</v>
      </c>
      <c r="E638" s="1" t="s">
        <v>2438</v>
      </c>
      <c r="F638" s="1" t="s">
        <v>524</v>
      </c>
      <c r="G638" s="1">
        <v>38310</v>
      </c>
      <c r="H638" s="1" t="s">
        <v>525</v>
      </c>
    </row>
    <row r="639" spans="1:8" x14ac:dyDescent="0.35">
      <c r="A639" s="1" t="s">
        <v>2439</v>
      </c>
      <c r="B639" s="1" t="s">
        <v>2440</v>
      </c>
      <c r="C639" s="1" t="s">
        <v>521</v>
      </c>
      <c r="D639" s="1" t="s">
        <v>2441</v>
      </c>
      <c r="E639" s="1" t="s">
        <v>2442</v>
      </c>
      <c r="F639" s="1" t="s">
        <v>524</v>
      </c>
      <c r="G639" s="1">
        <v>37711</v>
      </c>
      <c r="H639" s="1" t="s">
        <v>525</v>
      </c>
    </row>
    <row r="640" spans="1:8" x14ac:dyDescent="0.35">
      <c r="A640" s="1" t="s">
        <v>2443</v>
      </c>
      <c r="B640" s="1" t="s">
        <v>2444</v>
      </c>
      <c r="C640" s="1" t="s">
        <v>521</v>
      </c>
      <c r="D640" s="1" t="s">
        <v>2445</v>
      </c>
      <c r="E640" s="1" t="s">
        <v>2446</v>
      </c>
      <c r="F640" s="1" t="s">
        <v>524</v>
      </c>
      <c r="G640" s="1">
        <v>37642</v>
      </c>
      <c r="H640" s="1" t="s">
        <v>525</v>
      </c>
    </row>
    <row r="641" spans="1:8" x14ac:dyDescent="0.35">
      <c r="A641" s="1" t="s">
        <v>200</v>
      </c>
      <c r="B641" s="1" t="s">
        <v>2447</v>
      </c>
      <c r="C641" s="1" t="s">
        <v>521</v>
      </c>
      <c r="D641" s="1" t="s">
        <v>2448</v>
      </c>
      <c r="E641" s="1" t="s">
        <v>2449</v>
      </c>
      <c r="F641" s="1" t="s">
        <v>524</v>
      </c>
      <c r="G641" s="1">
        <v>37857</v>
      </c>
      <c r="H641" s="1" t="s">
        <v>525</v>
      </c>
    </row>
    <row r="642" spans="1:8" x14ac:dyDescent="0.35">
      <c r="A642" s="1" t="s">
        <v>2450</v>
      </c>
      <c r="B642" s="1" t="s">
        <v>2451</v>
      </c>
      <c r="C642" s="1" t="s">
        <v>521</v>
      </c>
      <c r="D642" s="1" t="s">
        <v>2452</v>
      </c>
      <c r="E642" s="1" t="s">
        <v>2446</v>
      </c>
      <c r="F642" s="1" t="s">
        <v>524</v>
      </c>
      <c r="G642" s="1">
        <v>37642</v>
      </c>
      <c r="H642" s="1" t="s">
        <v>525</v>
      </c>
    </row>
    <row r="643" spans="1:8" x14ac:dyDescent="0.35">
      <c r="A643" s="1" t="s">
        <v>2453</v>
      </c>
      <c r="B643" s="1" t="s">
        <v>2454</v>
      </c>
      <c r="C643" s="1" t="s">
        <v>521</v>
      </c>
      <c r="D643" s="1" t="s">
        <v>2455</v>
      </c>
      <c r="E643" s="1" t="s">
        <v>2446</v>
      </c>
      <c r="F643" s="1" t="s">
        <v>524</v>
      </c>
      <c r="G643" s="1">
        <v>37642</v>
      </c>
      <c r="H643" s="1" t="s">
        <v>525</v>
      </c>
    </row>
    <row r="644" spans="1:8" x14ac:dyDescent="0.35">
      <c r="A644" s="1" t="s">
        <v>2456</v>
      </c>
      <c r="B644" s="1" t="s">
        <v>2457</v>
      </c>
      <c r="C644" s="1" t="s">
        <v>521</v>
      </c>
      <c r="D644" s="1" t="s">
        <v>2458</v>
      </c>
      <c r="E644" s="1" t="s">
        <v>2446</v>
      </c>
      <c r="F644" s="1" t="s">
        <v>524</v>
      </c>
      <c r="G644" s="1">
        <v>37642</v>
      </c>
      <c r="H644" s="1" t="s">
        <v>525</v>
      </c>
    </row>
    <row r="645" spans="1:8" x14ac:dyDescent="0.35">
      <c r="A645" s="1" t="s">
        <v>202</v>
      </c>
      <c r="B645" s="1" t="s">
        <v>2459</v>
      </c>
      <c r="C645" s="1" t="s">
        <v>521</v>
      </c>
      <c r="D645" s="1" t="s">
        <v>2460</v>
      </c>
      <c r="E645" s="1" t="s">
        <v>2384</v>
      </c>
      <c r="F645" s="1" t="s">
        <v>524</v>
      </c>
      <c r="G645" s="1">
        <v>37869</v>
      </c>
      <c r="H645" s="1" t="s">
        <v>525</v>
      </c>
    </row>
    <row r="646" spans="1:8" x14ac:dyDescent="0.35">
      <c r="A646" s="1" t="s">
        <v>2461</v>
      </c>
      <c r="B646" s="1" t="s">
        <v>2462</v>
      </c>
      <c r="C646" s="1" t="s">
        <v>521</v>
      </c>
      <c r="D646" s="1" t="s">
        <v>2463</v>
      </c>
      <c r="E646" s="1" t="s">
        <v>2449</v>
      </c>
      <c r="F646" s="1" t="s">
        <v>524</v>
      </c>
      <c r="G646" s="1">
        <v>37857</v>
      </c>
      <c r="H646" s="1" t="s">
        <v>525</v>
      </c>
    </row>
    <row r="647" spans="1:8" x14ac:dyDescent="0.35">
      <c r="A647" s="1" t="s">
        <v>2464</v>
      </c>
      <c r="B647" s="1" t="s">
        <v>2465</v>
      </c>
      <c r="C647" s="1" t="s">
        <v>521</v>
      </c>
      <c r="D647" s="1" t="s">
        <v>2466</v>
      </c>
      <c r="E647" s="1" t="s">
        <v>2467</v>
      </c>
      <c r="F647" s="1" t="s">
        <v>524</v>
      </c>
      <c r="G647" s="1">
        <v>37645</v>
      </c>
      <c r="H647" s="1" t="s">
        <v>525</v>
      </c>
    </row>
    <row r="648" spans="1:8" x14ac:dyDescent="0.35">
      <c r="A648" s="1" t="s">
        <v>2468</v>
      </c>
      <c r="B648" s="1" t="s">
        <v>2469</v>
      </c>
      <c r="C648" s="1" t="s">
        <v>521</v>
      </c>
      <c r="D648" s="1" t="s">
        <v>2470</v>
      </c>
      <c r="E648" s="1" t="s">
        <v>2446</v>
      </c>
      <c r="F648" s="1" t="s">
        <v>524</v>
      </c>
      <c r="G648" s="1">
        <v>37642</v>
      </c>
      <c r="H648" s="1" t="s">
        <v>525</v>
      </c>
    </row>
    <row r="649" spans="1:8" x14ac:dyDescent="0.35">
      <c r="A649" s="1" t="s">
        <v>2471</v>
      </c>
      <c r="B649" s="1" t="s">
        <v>2472</v>
      </c>
      <c r="C649" s="1" t="s">
        <v>521</v>
      </c>
      <c r="D649" s="1" t="s">
        <v>2473</v>
      </c>
      <c r="E649" s="1" t="s">
        <v>2474</v>
      </c>
      <c r="F649" s="1" t="s">
        <v>524</v>
      </c>
      <c r="G649" s="1">
        <v>37811</v>
      </c>
      <c r="H649" s="1" t="s">
        <v>525</v>
      </c>
    </row>
    <row r="650" spans="1:8" x14ac:dyDescent="0.35">
      <c r="A650" s="1" t="s">
        <v>2475</v>
      </c>
      <c r="B650" s="1" t="s">
        <v>2476</v>
      </c>
      <c r="C650" s="1" t="s">
        <v>521</v>
      </c>
      <c r="D650" s="1" t="s">
        <v>2477</v>
      </c>
      <c r="E650" s="1" t="s">
        <v>2449</v>
      </c>
      <c r="F650" s="1" t="s">
        <v>524</v>
      </c>
      <c r="G650" s="1">
        <v>37857</v>
      </c>
      <c r="H650" s="1" t="s">
        <v>525</v>
      </c>
    </row>
    <row r="651" spans="1:8" x14ac:dyDescent="0.35">
      <c r="A651" s="1" t="s">
        <v>2478</v>
      </c>
      <c r="B651" s="1" t="s">
        <v>2479</v>
      </c>
      <c r="C651" s="1" t="s">
        <v>521</v>
      </c>
      <c r="D651" s="1" t="s">
        <v>2480</v>
      </c>
      <c r="E651" s="1" t="s">
        <v>2449</v>
      </c>
      <c r="F651" s="1" t="s">
        <v>524</v>
      </c>
      <c r="G651" s="1">
        <v>37857</v>
      </c>
      <c r="H651" s="1" t="s">
        <v>525</v>
      </c>
    </row>
    <row r="652" spans="1:8" x14ac:dyDescent="0.35">
      <c r="A652" s="1" t="s">
        <v>2481</v>
      </c>
      <c r="B652" s="1" t="s">
        <v>2482</v>
      </c>
      <c r="C652" s="1" t="s">
        <v>521</v>
      </c>
      <c r="D652" s="1" t="s">
        <v>2483</v>
      </c>
      <c r="E652" s="1" t="s">
        <v>2449</v>
      </c>
      <c r="F652" s="1" t="s">
        <v>524</v>
      </c>
      <c r="G652" s="1">
        <v>37857</v>
      </c>
      <c r="H652" s="1" t="s">
        <v>525</v>
      </c>
    </row>
    <row r="653" spans="1:8" x14ac:dyDescent="0.35">
      <c r="A653" s="1" t="s">
        <v>2484</v>
      </c>
      <c r="B653" s="1" t="s">
        <v>2485</v>
      </c>
      <c r="C653" s="1" t="s">
        <v>521</v>
      </c>
      <c r="D653" s="1" t="s">
        <v>2486</v>
      </c>
      <c r="E653" s="1" t="s">
        <v>2442</v>
      </c>
      <c r="F653" s="1" t="s">
        <v>524</v>
      </c>
      <c r="G653" s="1">
        <v>37711</v>
      </c>
      <c r="H653" s="1" t="s">
        <v>525</v>
      </c>
    </row>
    <row r="654" spans="1:8" x14ac:dyDescent="0.35">
      <c r="A654" s="1" t="s">
        <v>2487</v>
      </c>
      <c r="B654" s="1" t="s">
        <v>2488</v>
      </c>
      <c r="C654" s="1" t="s">
        <v>521</v>
      </c>
      <c r="D654" s="1" t="s">
        <v>2489</v>
      </c>
      <c r="E654" s="1" t="s">
        <v>2490</v>
      </c>
      <c r="F654" s="1" t="s">
        <v>524</v>
      </c>
      <c r="G654" s="1">
        <v>37873</v>
      </c>
      <c r="H654" s="1" t="s">
        <v>525</v>
      </c>
    </row>
    <row r="655" spans="1:8" x14ac:dyDescent="0.35">
      <c r="A655" s="1" t="s">
        <v>2491</v>
      </c>
      <c r="B655" s="1" t="s">
        <v>2492</v>
      </c>
      <c r="C655" s="1" t="s">
        <v>521</v>
      </c>
      <c r="D655" s="1" t="s">
        <v>2493</v>
      </c>
      <c r="E655" s="1" t="s">
        <v>2490</v>
      </c>
      <c r="F655" s="1" t="s">
        <v>524</v>
      </c>
      <c r="G655" s="1">
        <v>37873</v>
      </c>
      <c r="H655" s="1" t="s">
        <v>525</v>
      </c>
    </row>
    <row r="656" spans="1:8" x14ac:dyDescent="0.35">
      <c r="A656" s="1" t="s">
        <v>203</v>
      </c>
      <c r="B656" s="1" t="s">
        <v>2494</v>
      </c>
      <c r="C656" s="1" t="s">
        <v>521</v>
      </c>
      <c r="D656" s="1" t="s">
        <v>2495</v>
      </c>
      <c r="E656" s="1" t="s">
        <v>2446</v>
      </c>
      <c r="F656" s="1" t="s">
        <v>524</v>
      </c>
      <c r="G656" s="1">
        <v>37642</v>
      </c>
      <c r="H656" s="1" t="s">
        <v>525</v>
      </c>
    </row>
    <row r="657" spans="1:8" x14ac:dyDescent="0.35">
      <c r="A657" s="1" t="s">
        <v>2496</v>
      </c>
      <c r="B657" s="1" t="s">
        <v>2497</v>
      </c>
      <c r="C657" s="1" t="s">
        <v>521</v>
      </c>
      <c r="D657" s="1" t="s">
        <v>2498</v>
      </c>
      <c r="E657" s="1" t="s">
        <v>2449</v>
      </c>
      <c r="F657" s="1" t="s">
        <v>524</v>
      </c>
      <c r="G657" s="1">
        <v>37857</v>
      </c>
      <c r="H657" s="1" t="s">
        <v>525</v>
      </c>
    </row>
    <row r="658" spans="1:8" x14ac:dyDescent="0.35">
      <c r="A658" s="1" t="s">
        <v>2499</v>
      </c>
      <c r="B658" s="1" t="s">
        <v>637</v>
      </c>
      <c r="C658" s="1" t="s">
        <v>521</v>
      </c>
      <c r="D658" s="1" t="s">
        <v>2500</v>
      </c>
      <c r="E658" s="1" t="s">
        <v>2501</v>
      </c>
      <c r="F658" s="1" t="s">
        <v>524</v>
      </c>
      <c r="G658" s="1">
        <v>38012</v>
      </c>
      <c r="H658" s="1" t="s">
        <v>525</v>
      </c>
    </row>
    <row r="659" spans="1:8" x14ac:dyDescent="0.35">
      <c r="A659" s="1" t="s">
        <v>2502</v>
      </c>
      <c r="B659" s="1" t="s">
        <v>1418</v>
      </c>
      <c r="C659" s="1" t="s">
        <v>521</v>
      </c>
      <c r="D659" s="1" t="s">
        <v>2503</v>
      </c>
      <c r="E659" s="1" t="s">
        <v>2501</v>
      </c>
      <c r="F659" s="1" t="s">
        <v>524</v>
      </c>
      <c r="G659" s="1">
        <v>38012</v>
      </c>
      <c r="H659" s="1" t="s">
        <v>525</v>
      </c>
    </row>
    <row r="660" spans="1:8" x14ac:dyDescent="0.35">
      <c r="A660" s="1" t="s">
        <v>204</v>
      </c>
      <c r="B660" s="1" t="s">
        <v>2504</v>
      </c>
      <c r="C660" s="1" t="s">
        <v>521</v>
      </c>
      <c r="D660" s="1" t="s">
        <v>2505</v>
      </c>
      <c r="E660" s="1" t="s">
        <v>2501</v>
      </c>
      <c r="F660" s="1" t="s">
        <v>524</v>
      </c>
      <c r="G660" s="1">
        <v>38012</v>
      </c>
      <c r="H660" s="1" t="s">
        <v>525</v>
      </c>
    </row>
    <row r="661" spans="1:8" x14ac:dyDescent="0.35">
      <c r="A661" s="1" t="s">
        <v>2506</v>
      </c>
      <c r="B661" s="1" t="s">
        <v>2507</v>
      </c>
      <c r="C661" s="1" t="s">
        <v>521</v>
      </c>
      <c r="D661" s="1" t="s">
        <v>2508</v>
      </c>
      <c r="E661" s="1" t="s">
        <v>2501</v>
      </c>
      <c r="F661" s="1" t="s">
        <v>524</v>
      </c>
      <c r="G661" s="1">
        <v>38037</v>
      </c>
      <c r="H661" s="1" t="s">
        <v>525</v>
      </c>
    </row>
    <row r="662" spans="1:8" x14ac:dyDescent="0.35">
      <c r="A662" s="1" t="s">
        <v>2509</v>
      </c>
      <c r="B662" s="1" t="s">
        <v>2510</v>
      </c>
      <c r="C662" s="1" t="s">
        <v>521</v>
      </c>
      <c r="D662" s="1" t="s">
        <v>2511</v>
      </c>
      <c r="E662" s="1" t="s">
        <v>2512</v>
      </c>
      <c r="F662" s="1" t="s">
        <v>524</v>
      </c>
      <c r="G662" s="1">
        <v>38351</v>
      </c>
      <c r="H662" s="1" t="s">
        <v>525</v>
      </c>
    </row>
    <row r="663" spans="1:8" x14ac:dyDescent="0.35">
      <c r="A663" s="1" t="s">
        <v>2513</v>
      </c>
      <c r="B663" s="1" t="s">
        <v>2514</v>
      </c>
      <c r="C663" s="1" t="s">
        <v>521</v>
      </c>
      <c r="D663" s="1" t="s">
        <v>2515</v>
      </c>
      <c r="E663" s="1" t="s">
        <v>2516</v>
      </c>
      <c r="F663" s="1" t="s">
        <v>524</v>
      </c>
      <c r="G663" s="1">
        <v>38388</v>
      </c>
      <c r="H663" s="1" t="s">
        <v>525</v>
      </c>
    </row>
    <row r="664" spans="1:8" x14ac:dyDescent="0.35">
      <c r="A664" s="1" t="s">
        <v>206</v>
      </c>
      <c r="B664" s="1" t="s">
        <v>2517</v>
      </c>
      <c r="C664" s="1" t="s">
        <v>521</v>
      </c>
      <c r="D664" s="1" t="s">
        <v>2518</v>
      </c>
      <c r="E664" s="1" t="s">
        <v>2512</v>
      </c>
      <c r="F664" s="1" t="s">
        <v>524</v>
      </c>
      <c r="G664" s="1">
        <v>38351</v>
      </c>
      <c r="H664" s="1" t="s">
        <v>525</v>
      </c>
    </row>
    <row r="665" spans="1:8" x14ac:dyDescent="0.35">
      <c r="A665" s="1" t="s">
        <v>2519</v>
      </c>
      <c r="B665" s="1" t="s">
        <v>2520</v>
      </c>
      <c r="C665" s="1" t="s">
        <v>521</v>
      </c>
      <c r="D665" s="1" t="s">
        <v>2521</v>
      </c>
      <c r="E665" s="1" t="s">
        <v>2512</v>
      </c>
      <c r="F665" s="1" t="s">
        <v>524</v>
      </c>
      <c r="G665" s="1">
        <v>38351</v>
      </c>
      <c r="H665" s="1" t="s">
        <v>525</v>
      </c>
    </row>
    <row r="666" spans="1:8" x14ac:dyDescent="0.35">
      <c r="A666" s="1" t="s">
        <v>2522</v>
      </c>
      <c r="B666" s="1" t="s">
        <v>2523</v>
      </c>
      <c r="C666" s="1" t="s">
        <v>521</v>
      </c>
      <c r="D666" s="1" t="s">
        <v>2524</v>
      </c>
      <c r="E666" s="1" t="s">
        <v>2525</v>
      </c>
      <c r="F666" s="1" t="s">
        <v>524</v>
      </c>
      <c r="G666" s="1">
        <v>38374</v>
      </c>
      <c r="H666" s="1" t="s">
        <v>525</v>
      </c>
    </row>
    <row r="667" spans="1:8" x14ac:dyDescent="0.35">
      <c r="A667" s="1" t="s">
        <v>208</v>
      </c>
      <c r="B667" s="1" t="s">
        <v>2526</v>
      </c>
      <c r="C667" s="1" t="s">
        <v>521</v>
      </c>
      <c r="D667" s="1" t="s">
        <v>2527</v>
      </c>
      <c r="E667" s="1" t="s">
        <v>2528</v>
      </c>
      <c r="F667" s="1" t="s">
        <v>524</v>
      </c>
      <c r="G667" s="1">
        <v>38368</v>
      </c>
      <c r="H667" s="1" t="s">
        <v>525</v>
      </c>
    </row>
    <row r="668" spans="1:8" x14ac:dyDescent="0.35">
      <c r="A668" s="1" t="s">
        <v>2529</v>
      </c>
      <c r="B668" s="1" t="s">
        <v>2530</v>
      </c>
      <c r="C668" s="1" t="s">
        <v>521</v>
      </c>
      <c r="D668" s="1" t="s">
        <v>2531</v>
      </c>
      <c r="E668" s="1" t="s">
        <v>2512</v>
      </c>
      <c r="F668" s="1" t="s">
        <v>524</v>
      </c>
      <c r="G668" s="1">
        <v>38351</v>
      </c>
      <c r="H668" s="1" t="s">
        <v>525</v>
      </c>
    </row>
    <row r="669" spans="1:8" x14ac:dyDescent="0.35">
      <c r="A669" s="1" t="s">
        <v>2532</v>
      </c>
      <c r="B669" s="1" t="s">
        <v>2533</v>
      </c>
      <c r="C669" s="1" t="s">
        <v>521</v>
      </c>
      <c r="D669" s="1" t="s">
        <v>2534</v>
      </c>
      <c r="E669" s="1" t="s">
        <v>2535</v>
      </c>
      <c r="F669" s="1" t="s">
        <v>524</v>
      </c>
      <c r="G669" s="1">
        <v>38345</v>
      </c>
      <c r="H669" s="1" t="s">
        <v>525</v>
      </c>
    </row>
    <row r="670" spans="1:8" x14ac:dyDescent="0.35">
      <c r="A670" s="1" t="s">
        <v>2536</v>
      </c>
      <c r="B670" s="1" t="s">
        <v>643</v>
      </c>
      <c r="C670" s="1" t="s">
        <v>521</v>
      </c>
      <c r="D670" s="1" t="s">
        <v>2537</v>
      </c>
      <c r="E670" s="1" t="s">
        <v>2528</v>
      </c>
      <c r="F670" s="1" t="s">
        <v>524</v>
      </c>
      <c r="G670" s="1">
        <v>38368</v>
      </c>
      <c r="H670" s="1" t="s">
        <v>525</v>
      </c>
    </row>
    <row r="671" spans="1:8" x14ac:dyDescent="0.35">
      <c r="A671" s="1" t="s">
        <v>2538</v>
      </c>
      <c r="B671" s="1" t="s">
        <v>2539</v>
      </c>
      <c r="C671" s="1" t="s">
        <v>521</v>
      </c>
      <c r="D671" s="1" t="s">
        <v>2540</v>
      </c>
      <c r="E671" s="1" t="s">
        <v>2512</v>
      </c>
      <c r="F671" s="1" t="s">
        <v>524</v>
      </c>
      <c r="G671" s="1">
        <v>38351</v>
      </c>
      <c r="H671" s="1" t="s">
        <v>525</v>
      </c>
    </row>
    <row r="672" spans="1:8" x14ac:dyDescent="0.35">
      <c r="A672" s="1" t="s">
        <v>2541</v>
      </c>
      <c r="B672" s="1" t="s">
        <v>2542</v>
      </c>
      <c r="C672" s="1" t="s">
        <v>521</v>
      </c>
      <c r="D672" s="1" t="s">
        <v>2543</v>
      </c>
      <c r="E672" s="1" t="s">
        <v>2512</v>
      </c>
      <c r="F672" s="1" t="s">
        <v>524</v>
      </c>
      <c r="G672" s="1">
        <v>38351</v>
      </c>
      <c r="H672" s="1" t="s">
        <v>525</v>
      </c>
    </row>
    <row r="673" spans="1:8" x14ac:dyDescent="0.35">
      <c r="A673" s="1" t="s">
        <v>2544</v>
      </c>
      <c r="B673" s="1" t="s">
        <v>2545</v>
      </c>
      <c r="C673" s="1" t="s">
        <v>521</v>
      </c>
      <c r="D673" s="1" t="s">
        <v>2546</v>
      </c>
      <c r="E673" s="1" t="s">
        <v>2547</v>
      </c>
      <c r="F673" s="1" t="s">
        <v>524</v>
      </c>
      <c r="G673" s="1">
        <v>38251</v>
      </c>
      <c r="H673" s="1" t="s">
        <v>525</v>
      </c>
    </row>
    <row r="674" spans="1:8" x14ac:dyDescent="0.35">
      <c r="A674" s="1" t="s">
        <v>2548</v>
      </c>
      <c r="B674" s="1" t="s">
        <v>2549</v>
      </c>
      <c r="C674" s="1" t="s">
        <v>521</v>
      </c>
      <c r="D674" s="1" t="s">
        <v>2550</v>
      </c>
      <c r="E674" s="1" t="s">
        <v>2551</v>
      </c>
      <c r="F674" s="1" t="s">
        <v>524</v>
      </c>
      <c r="G674" s="1">
        <v>38242</v>
      </c>
      <c r="H674" s="1" t="s">
        <v>525</v>
      </c>
    </row>
    <row r="675" spans="1:8" x14ac:dyDescent="0.35">
      <c r="A675" s="1" t="s">
        <v>2552</v>
      </c>
      <c r="B675" s="1" t="s">
        <v>2553</v>
      </c>
      <c r="C675" s="1" t="s">
        <v>521</v>
      </c>
      <c r="D675" s="1" t="s">
        <v>2554</v>
      </c>
      <c r="E675" s="1" t="s">
        <v>2555</v>
      </c>
      <c r="F675" s="1" t="s">
        <v>524</v>
      </c>
      <c r="G675" s="1">
        <v>38231</v>
      </c>
      <c r="H675" s="1" t="s">
        <v>525</v>
      </c>
    </row>
    <row r="676" spans="1:8" x14ac:dyDescent="0.35">
      <c r="A676" s="1" t="s">
        <v>209</v>
      </c>
      <c r="B676" s="1" t="s">
        <v>2556</v>
      </c>
      <c r="C676" s="1" t="s">
        <v>521</v>
      </c>
      <c r="D676" s="1" t="s">
        <v>2557</v>
      </c>
      <c r="E676" s="1" t="s">
        <v>2551</v>
      </c>
      <c r="F676" s="1" t="s">
        <v>524</v>
      </c>
      <c r="G676" s="1">
        <v>38242</v>
      </c>
      <c r="H676" s="1" t="s">
        <v>525</v>
      </c>
    </row>
    <row r="677" spans="1:8" x14ac:dyDescent="0.35">
      <c r="A677" s="1" t="s">
        <v>2558</v>
      </c>
      <c r="B677" s="1" t="s">
        <v>2559</v>
      </c>
      <c r="C677" s="1" t="s">
        <v>521</v>
      </c>
      <c r="D677" s="1" t="s">
        <v>2560</v>
      </c>
      <c r="E677" s="1" t="s">
        <v>2561</v>
      </c>
      <c r="F677" s="1" t="s">
        <v>524</v>
      </c>
      <c r="G677" s="1">
        <v>38222</v>
      </c>
      <c r="H677" s="1" t="s">
        <v>525</v>
      </c>
    </row>
    <row r="678" spans="1:8" x14ac:dyDescent="0.35">
      <c r="A678" s="1" t="s">
        <v>2562</v>
      </c>
      <c r="B678" s="1" t="s">
        <v>2563</v>
      </c>
      <c r="C678" s="1" t="s">
        <v>521</v>
      </c>
      <c r="D678" s="1" t="s">
        <v>2560</v>
      </c>
      <c r="E678" s="1" t="s">
        <v>2561</v>
      </c>
      <c r="F678" s="1" t="s">
        <v>524</v>
      </c>
      <c r="G678" s="1">
        <v>38024</v>
      </c>
      <c r="H678" s="1" t="s">
        <v>525</v>
      </c>
    </row>
    <row r="679" spans="1:8" x14ac:dyDescent="0.35">
      <c r="A679" s="1" t="s">
        <v>2564</v>
      </c>
      <c r="B679" s="1" t="s">
        <v>2565</v>
      </c>
      <c r="C679" s="1" t="s">
        <v>521</v>
      </c>
      <c r="D679" s="1" t="s">
        <v>2566</v>
      </c>
      <c r="E679" s="1" t="s">
        <v>2551</v>
      </c>
      <c r="F679" s="1" t="s">
        <v>524</v>
      </c>
      <c r="G679" s="1">
        <v>38242</v>
      </c>
      <c r="H679" s="1" t="s">
        <v>525</v>
      </c>
    </row>
    <row r="680" spans="1:8" x14ac:dyDescent="0.35">
      <c r="A680" s="1" t="s">
        <v>2567</v>
      </c>
      <c r="B680" s="1" t="s">
        <v>2568</v>
      </c>
      <c r="C680" s="1" t="s">
        <v>521</v>
      </c>
      <c r="D680" s="1" t="s">
        <v>2569</v>
      </c>
      <c r="E680" s="1" t="s">
        <v>2551</v>
      </c>
      <c r="F680" s="1" t="s">
        <v>524</v>
      </c>
      <c r="G680" s="1">
        <v>38242</v>
      </c>
      <c r="H680" s="1" t="s">
        <v>525</v>
      </c>
    </row>
    <row r="681" spans="1:8" x14ac:dyDescent="0.35">
      <c r="A681" s="1" t="s">
        <v>2570</v>
      </c>
      <c r="B681" s="1" t="s">
        <v>2571</v>
      </c>
      <c r="C681" s="1" t="s">
        <v>521</v>
      </c>
      <c r="D681" s="1" t="s">
        <v>2572</v>
      </c>
      <c r="E681" s="1" t="s">
        <v>2551</v>
      </c>
      <c r="F681" s="1" t="s">
        <v>524</v>
      </c>
      <c r="G681" s="1">
        <v>38242</v>
      </c>
      <c r="H681" s="1" t="s">
        <v>525</v>
      </c>
    </row>
    <row r="682" spans="1:8" x14ac:dyDescent="0.35">
      <c r="A682" s="1" t="s">
        <v>2573</v>
      </c>
      <c r="B682" s="1" t="s">
        <v>2574</v>
      </c>
      <c r="C682" s="1" t="s">
        <v>521</v>
      </c>
      <c r="D682" s="1" t="s">
        <v>2575</v>
      </c>
      <c r="E682" s="1" t="s">
        <v>2576</v>
      </c>
      <c r="F682" s="1" t="s">
        <v>524</v>
      </c>
      <c r="G682" s="1">
        <v>37033</v>
      </c>
      <c r="H682" s="1" t="s">
        <v>525</v>
      </c>
    </row>
    <row r="683" spans="1:8" x14ac:dyDescent="0.35">
      <c r="A683" s="1" t="s">
        <v>2577</v>
      </c>
      <c r="B683" s="1" t="s">
        <v>2578</v>
      </c>
      <c r="C683" s="1" t="s">
        <v>521</v>
      </c>
      <c r="D683" s="1" t="s">
        <v>2579</v>
      </c>
      <c r="E683" s="1" t="s">
        <v>2576</v>
      </c>
      <c r="F683" s="1" t="s">
        <v>524</v>
      </c>
      <c r="G683" s="1">
        <v>37033</v>
      </c>
      <c r="H683" s="1" t="s">
        <v>525</v>
      </c>
    </row>
    <row r="684" spans="1:8" x14ac:dyDescent="0.35">
      <c r="A684" s="1" t="s">
        <v>2580</v>
      </c>
      <c r="B684" s="1" t="s">
        <v>2581</v>
      </c>
      <c r="C684" s="1" t="s">
        <v>521</v>
      </c>
      <c r="D684" s="1" t="s">
        <v>2582</v>
      </c>
      <c r="E684" s="1" t="s">
        <v>2583</v>
      </c>
      <c r="F684" s="1" t="s">
        <v>524</v>
      </c>
      <c r="G684" s="1">
        <v>37098</v>
      </c>
      <c r="H684" s="1" t="s">
        <v>525</v>
      </c>
    </row>
    <row r="685" spans="1:8" x14ac:dyDescent="0.35">
      <c r="A685" s="1" t="s">
        <v>2584</v>
      </c>
      <c r="B685" s="1" t="s">
        <v>2585</v>
      </c>
      <c r="C685" s="1" t="s">
        <v>521</v>
      </c>
      <c r="D685" s="1" t="s">
        <v>2586</v>
      </c>
      <c r="E685" s="1" t="s">
        <v>2583</v>
      </c>
      <c r="F685" s="1" t="s">
        <v>524</v>
      </c>
      <c r="G685" s="1">
        <v>37098</v>
      </c>
      <c r="H685" s="1" t="s">
        <v>525</v>
      </c>
    </row>
    <row r="686" spans="1:8" x14ac:dyDescent="0.35">
      <c r="A686" s="1" t="s">
        <v>2587</v>
      </c>
      <c r="B686" s="1" t="s">
        <v>2588</v>
      </c>
      <c r="C686" s="1" t="s">
        <v>521</v>
      </c>
      <c r="D686" s="1" t="s">
        <v>2589</v>
      </c>
      <c r="E686" s="1" t="s">
        <v>2583</v>
      </c>
      <c r="F686" s="1" t="s">
        <v>524</v>
      </c>
      <c r="G686" s="1">
        <v>37098</v>
      </c>
      <c r="H686" s="1" t="s">
        <v>525</v>
      </c>
    </row>
    <row r="687" spans="1:8" x14ac:dyDescent="0.35">
      <c r="A687" s="1" t="s">
        <v>211</v>
      </c>
      <c r="B687" s="1" t="s">
        <v>2590</v>
      </c>
      <c r="C687" s="1" t="s">
        <v>521</v>
      </c>
      <c r="D687" s="1" t="s">
        <v>2591</v>
      </c>
      <c r="E687" s="1" t="s">
        <v>2583</v>
      </c>
      <c r="F687" s="1" t="s">
        <v>524</v>
      </c>
      <c r="G687" s="1">
        <v>37098</v>
      </c>
      <c r="H687" s="1" t="s">
        <v>525</v>
      </c>
    </row>
    <row r="688" spans="1:8" x14ac:dyDescent="0.35">
      <c r="A688" s="1" t="s">
        <v>2592</v>
      </c>
      <c r="B688" s="1" t="s">
        <v>2593</v>
      </c>
      <c r="C688" s="1" t="s">
        <v>521</v>
      </c>
      <c r="D688" s="1" t="s">
        <v>2594</v>
      </c>
      <c r="E688" s="1" t="s">
        <v>2576</v>
      </c>
      <c r="F688" s="1" t="s">
        <v>524</v>
      </c>
      <c r="G688" s="1">
        <v>37033</v>
      </c>
      <c r="H688" s="1" t="s">
        <v>525</v>
      </c>
    </row>
    <row r="689" spans="1:8" x14ac:dyDescent="0.35">
      <c r="A689" s="1" t="s">
        <v>213</v>
      </c>
      <c r="B689" s="1" t="s">
        <v>2595</v>
      </c>
      <c r="C689" s="1" t="s">
        <v>521</v>
      </c>
      <c r="D689" s="1" t="s">
        <v>2596</v>
      </c>
      <c r="E689" s="1" t="s">
        <v>2576</v>
      </c>
      <c r="F689" s="1" t="s">
        <v>524</v>
      </c>
      <c r="G689" s="1">
        <v>37033</v>
      </c>
      <c r="H689" s="1" t="s">
        <v>525</v>
      </c>
    </row>
    <row r="690" spans="1:8" x14ac:dyDescent="0.35">
      <c r="A690" s="1" t="s">
        <v>2597</v>
      </c>
      <c r="B690" s="1" t="s">
        <v>2598</v>
      </c>
      <c r="C690" s="1" t="s">
        <v>521</v>
      </c>
      <c r="D690" s="1" t="s">
        <v>2599</v>
      </c>
      <c r="E690" s="1" t="s">
        <v>2600</v>
      </c>
      <c r="F690" s="1" t="s">
        <v>524</v>
      </c>
      <c r="G690" s="1">
        <v>37061</v>
      </c>
      <c r="H690" s="1" t="s">
        <v>525</v>
      </c>
    </row>
    <row r="691" spans="1:8" x14ac:dyDescent="0.35">
      <c r="A691" s="1" t="s">
        <v>2601</v>
      </c>
      <c r="B691" s="1" t="s">
        <v>2602</v>
      </c>
      <c r="C691" s="1" t="s">
        <v>521</v>
      </c>
      <c r="D691" s="1" t="s">
        <v>2603</v>
      </c>
      <c r="E691" s="1" t="s">
        <v>2600</v>
      </c>
      <c r="F691" s="1" t="s">
        <v>524</v>
      </c>
      <c r="G691" s="1">
        <v>37061</v>
      </c>
      <c r="H691" s="1" t="s">
        <v>525</v>
      </c>
    </row>
    <row r="692" spans="1:8" x14ac:dyDescent="0.35">
      <c r="A692" s="1" t="s">
        <v>214</v>
      </c>
      <c r="B692" s="1" t="s">
        <v>2604</v>
      </c>
      <c r="C692" s="1" t="s">
        <v>521</v>
      </c>
      <c r="D692" s="1" t="s">
        <v>2605</v>
      </c>
      <c r="E692" s="1" t="s">
        <v>2600</v>
      </c>
      <c r="F692" s="1" t="s">
        <v>524</v>
      </c>
      <c r="G692" s="1">
        <v>37061</v>
      </c>
      <c r="H692" s="1" t="s">
        <v>525</v>
      </c>
    </row>
    <row r="693" spans="1:8" x14ac:dyDescent="0.35">
      <c r="A693" s="1" t="s">
        <v>2606</v>
      </c>
      <c r="B693" s="1" t="s">
        <v>2607</v>
      </c>
      <c r="C693" s="1" t="s">
        <v>521</v>
      </c>
      <c r="D693" s="1" t="s">
        <v>2608</v>
      </c>
      <c r="E693" s="1" t="s">
        <v>2609</v>
      </c>
      <c r="F693" s="1" t="s">
        <v>524</v>
      </c>
      <c r="G693" s="1">
        <v>37178</v>
      </c>
      <c r="H693" s="1" t="s">
        <v>525</v>
      </c>
    </row>
    <row r="694" spans="1:8" x14ac:dyDescent="0.35">
      <c r="A694" s="1" t="s">
        <v>2610</v>
      </c>
      <c r="B694" s="1" t="s">
        <v>1486</v>
      </c>
      <c r="C694" s="1" t="s">
        <v>521</v>
      </c>
      <c r="D694" s="1" t="s">
        <v>2611</v>
      </c>
      <c r="E694" s="1" t="s">
        <v>2612</v>
      </c>
      <c r="F694" s="1" t="s">
        <v>524</v>
      </c>
      <c r="G694" s="1">
        <v>37134</v>
      </c>
      <c r="H694" s="1" t="s">
        <v>525</v>
      </c>
    </row>
    <row r="695" spans="1:8" x14ac:dyDescent="0.35">
      <c r="A695" s="1" t="s">
        <v>2613</v>
      </c>
      <c r="B695" s="1" t="s">
        <v>2614</v>
      </c>
      <c r="C695" s="1" t="s">
        <v>521</v>
      </c>
      <c r="D695" s="1" t="s">
        <v>2615</v>
      </c>
      <c r="E695" s="1" t="s">
        <v>2616</v>
      </c>
      <c r="F695" s="1" t="s">
        <v>524</v>
      </c>
      <c r="G695" s="1">
        <v>37101</v>
      </c>
      <c r="H695" s="1" t="s">
        <v>525</v>
      </c>
    </row>
    <row r="696" spans="1:8" x14ac:dyDescent="0.35">
      <c r="A696" s="1" t="s">
        <v>2617</v>
      </c>
      <c r="B696" s="1" t="s">
        <v>2618</v>
      </c>
      <c r="C696" s="1" t="s">
        <v>521</v>
      </c>
      <c r="D696" s="1" t="s">
        <v>2619</v>
      </c>
      <c r="E696" s="1" t="s">
        <v>2616</v>
      </c>
      <c r="F696" s="1" t="s">
        <v>524</v>
      </c>
      <c r="G696" s="1">
        <v>37101</v>
      </c>
      <c r="H696" s="1" t="s">
        <v>525</v>
      </c>
    </row>
    <row r="697" spans="1:8" x14ac:dyDescent="0.35">
      <c r="A697" s="1" t="s">
        <v>216</v>
      </c>
      <c r="B697" s="1" t="s">
        <v>2620</v>
      </c>
      <c r="C697" s="1" t="s">
        <v>521</v>
      </c>
      <c r="D697" s="1" t="s">
        <v>2621</v>
      </c>
      <c r="E697" s="1" t="s">
        <v>2622</v>
      </c>
      <c r="F697" s="1" t="s">
        <v>524</v>
      </c>
      <c r="G697" s="1">
        <v>37101</v>
      </c>
      <c r="H697" s="1" t="s">
        <v>525</v>
      </c>
    </row>
    <row r="698" spans="1:8" x14ac:dyDescent="0.35">
      <c r="A698" s="1" t="s">
        <v>218</v>
      </c>
      <c r="B698" s="1" t="s">
        <v>2623</v>
      </c>
      <c r="C698" s="1" t="s">
        <v>521</v>
      </c>
      <c r="D698" s="1" t="s">
        <v>2624</v>
      </c>
      <c r="E698" s="1" t="s">
        <v>2625</v>
      </c>
      <c r="F698" s="1" t="s">
        <v>524</v>
      </c>
      <c r="G698" s="1">
        <v>37185</v>
      </c>
      <c r="H698" s="1" t="s">
        <v>525</v>
      </c>
    </row>
    <row r="699" spans="1:8" x14ac:dyDescent="0.35">
      <c r="A699" s="1" t="s">
        <v>2626</v>
      </c>
      <c r="B699" s="1" t="s">
        <v>2627</v>
      </c>
      <c r="C699" s="1" t="s">
        <v>521</v>
      </c>
      <c r="D699" s="1" t="s">
        <v>2628</v>
      </c>
      <c r="E699" s="1" t="s">
        <v>2625</v>
      </c>
      <c r="F699" s="1" t="s">
        <v>524</v>
      </c>
      <c r="G699" s="1">
        <v>37185</v>
      </c>
      <c r="H699" s="1" t="s">
        <v>525</v>
      </c>
    </row>
    <row r="700" spans="1:8" x14ac:dyDescent="0.35">
      <c r="A700" s="1" t="s">
        <v>2629</v>
      </c>
      <c r="B700" s="1" t="s">
        <v>2630</v>
      </c>
      <c r="C700" s="1" t="s">
        <v>521</v>
      </c>
      <c r="D700" s="1" t="s">
        <v>2631</v>
      </c>
      <c r="E700" s="1" t="s">
        <v>2625</v>
      </c>
      <c r="F700" s="1" t="s">
        <v>524</v>
      </c>
      <c r="G700" s="1">
        <v>37185</v>
      </c>
      <c r="H700" s="1" t="s">
        <v>525</v>
      </c>
    </row>
    <row r="701" spans="1:8" x14ac:dyDescent="0.35">
      <c r="A701" s="1" t="s">
        <v>219</v>
      </c>
      <c r="B701" s="1" t="s">
        <v>2632</v>
      </c>
      <c r="C701" s="1" t="s">
        <v>521</v>
      </c>
      <c r="D701" s="1" t="s">
        <v>2633</v>
      </c>
      <c r="E701" s="1" t="s">
        <v>2634</v>
      </c>
      <c r="F701" s="1" t="s">
        <v>524</v>
      </c>
      <c r="G701" s="1">
        <v>38562</v>
      </c>
      <c r="H701" s="1" t="s">
        <v>525</v>
      </c>
    </row>
    <row r="702" spans="1:8" x14ac:dyDescent="0.35">
      <c r="A702" s="1" t="s">
        <v>2635</v>
      </c>
      <c r="B702" s="1" t="s">
        <v>2636</v>
      </c>
      <c r="C702" s="1" t="s">
        <v>521</v>
      </c>
      <c r="D702" s="1" t="s">
        <v>2637</v>
      </c>
      <c r="E702" s="1" t="s">
        <v>2638</v>
      </c>
      <c r="F702" s="1" t="s">
        <v>524</v>
      </c>
      <c r="G702" s="1">
        <v>38501</v>
      </c>
      <c r="H702" s="1" t="s">
        <v>525</v>
      </c>
    </row>
    <row r="703" spans="1:8" x14ac:dyDescent="0.35">
      <c r="A703" s="1" t="s">
        <v>2639</v>
      </c>
      <c r="B703" s="1" t="s">
        <v>2640</v>
      </c>
      <c r="C703" s="1" t="s">
        <v>521</v>
      </c>
      <c r="D703" s="1" t="s">
        <v>2641</v>
      </c>
      <c r="E703" s="1" t="s">
        <v>2634</v>
      </c>
      <c r="F703" s="1" t="s">
        <v>524</v>
      </c>
      <c r="G703" s="1">
        <v>38562</v>
      </c>
      <c r="H703" s="1" t="s">
        <v>525</v>
      </c>
    </row>
    <row r="704" spans="1:8" x14ac:dyDescent="0.35">
      <c r="A704" s="1" t="s">
        <v>2642</v>
      </c>
      <c r="B704" s="1" t="s">
        <v>2643</v>
      </c>
      <c r="C704" s="1" t="s">
        <v>521</v>
      </c>
      <c r="D704" s="1" t="s">
        <v>2644</v>
      </c>
      <c r="E704" s="1" t="s">
        <v>2634</v>
      </c>
      <c r="F704" s="1" t="s">
        <v>524</v>
      </c>
      <c r="G704" s="1">
        <v>38562</v>
      </c>
      <c r="H704" s="1" t="s">
        <v>525</v>
      </c>
    </row>
    <row r="705" spans="1:8" x14ac:dyDescent="0.35">
      <c r="A705" s="1" t="s">
        <v>2645</v>
      </c>
      <c r="B705" s="1" t="s">
        <v>2646</v>
      </c>
      <c r="C705" s="1" t="s">
        <v>521</v>
      </c>
      <c r="D705" s="1" t="s">
        <v>2647</v>
      </c>
      <c r="E705" s="1" t="s">
        <v>2648</v>
      </c>
      <c r="F705" s="1" t="s">
        <v>524</v>
      </c>
      <c r="G705" s="1">
        <v>37725</v>
      </c>
      <c r="H705" s="1" t="s">
        <v>525</v>
      </c>
    </row>
    <row r="706" spans="1:8" x14ac:dyDescent="0.35">
      <c r="A706" s="1" t="s">
        <v>2649</v>
      </c>
      <c r="B706" s="1" t="s">
        <v>2650</v>
      </c>
      <c r="C706" s="1" t="s">
        <v>521</v>
      </c>
      <c r="D706" s="1" t="s">
        <v>2651</v>
      </c>
      <c r="E706" s="1" t="s">
        <v>2652</v>
      </c>
      <c r="F706" s="1" t="s">
        <v>524</v>
      </c>
      <c r="G706" s="1">
        <v>37760</v>
      </c>
      <c r="H706" s="1" t="s">
        <v>525</v>
      </c>
    </row>
    <row r="707" spans="1:8" x14ac:dyDescent="0.35">
      <c r="A707" s="1" t="s">
        <v>2653</v>
      </c>
      <c r="B707" s="1" t="s">
        <v>590</v>
      </c>
      <c r="C707" s="1" t="s">
        <v>521</v>
      </c>
      <c r="D707" s="1" t="s">
        <v>2654</v>
      </c>
      <c r="E707" s="1" t="s">
        <v>2652</v>
      </c>
      <c r="F707" s="1" t="s">
        <v>524</v>
      </c>
      <c r="G707" s="1">
        <v>37760</v>
      </c>
      <c r="H707" s="1" t="s">
        <v>525</v>
      </c>
    </row>
    <row r="708" spans="1:8" x14ac:dyDescent="0.35">
      <c r="A708" s="1" t="s">
        <v>221</v>
      </c>
      <c r="B708" s="1" t="s">
        <v>2655</v>
      </c>
      <c r="C708" s="1" t="s">
        <v>521</v>
      </c>
      <c r="D708" s="1" t="s">
        <v>2656</v>
      </c>
      <c r="E708" s="1" t="s">
        <v>2648</v>
      </c>
      <c r="F708" s="1" t="s">
        <v>524</v>
      </c>
      <c r="G708" s="1">
        <v>37725</v>
      </c>
      <c r="H708" s="1" t="s">
        <v>525</v>
      </c>
    </row>
    <row r="709" spans="1:8" x14ac:dyDescent="0.35">
      <c r="A709" s="1" t="s">
        <v>2657</v>
      </c>
      <c r="B709" s="1" t="s">
        <v>2658</v>
      </c>
      <c r="C709" s="1" t="s">
        <v>521</v>
      </c>
      <c r="D709" s="1" t="s">
        <v>2659</v>
      </c>
      <c r="E709" s="1" t="s">
        <v>2648</v>
      </c>
      <c r="F709" s="1" t="s">
        <v>524</v>
      </c>
      <c r="G709" s="1">
        <v>37725</v>
      </c>
      <c r="H709" s="1" t="s">
        <v>525</v>
      </c>
    </row>
    <row r="710" spans="1:8" x14ac:dyDescent="0.35">
      <c r="A710" s="1" t="s">
        <v>2660</v>
      </c>
      <c r="B710" s="1" t="s">
        <v>2661</v>
      </c>
      <c r="C710" s="1" t="s">
        <v>521</v>
      </c>
      <c r="D710" s="1" t="s">
        <v>2662</v>
      </c>
      <c r="E710" s="1" t="s">
        <v>2663</v>
      </c>
      <c r="F710" s="1" t="s">
        <v>524</v>
      </c>
      <c r="G710" s="1">
        <v>37820</v>
      </c>
      <c r="H710" s="1" t="s">
        <v>525</v>
      </c>
    </row>
    <row r="711" spans="1:8" x14ac:dyDescent="0.35">
      <c r="A711" s="1" t="s">
        <v>2664</v>
      </c>
      <c r="B711" s="1" t="s">
        <v>2665</v>
      </c>
      <c r="C711" s="1" t="s">
        <v>521</v>
      </c>
      <c r="D711" s="1" t="s">
        <v>2666</v>
      </c>
      <c r="E711" s="1" t="s">
        <v>2648</v>
      </c>
      <c r="F711" s="1" t="s">
        <v>524</v>
      </c>
      <c r="G711" s="1">
        <v>37725</v>
      </c>
      <c r="H711" s="1" t="s">
        <v>525</v>
      </c>
    </row>
    <row r="712" spans="1:8" x14ac:dyDescent="0.35">
      <c r="A712" s="1" t="s">
        <v>2667</v>
      </c>
      <c r="B712" s="1" t="s">
        <v>2668</v>
      </c>
      <c r="C712" s="1" t="s">
        <v>521</v>
      </c>
      <c r="D712" s="1" t="s">
        <v>2669</v>
      </c>
      <c r="E712" s="1" t="s">
        <v>2670</v>
      </c>
      <c r="F712" s="1" t="s">
        <v>524</v>
      </c>
      <c r="G712" s="1">
        <v>37871</v>
      </c>
      <c r="H712" s="1" t="s">
        <v>525</v>
      </c>
    </row>
    <row r="713" spans="1:8" x14ac:dyDescent="0.35">
      <c r="A713" s="1" t="s">
        <v>2671</v>
      </c>
      <c r="B713" s="1" t="s">
        <v>2672</v>
      </c>
      <c r="C713" s="1" t="s">
        <v>521</v>
      </c>
      <c r="D713" s="1" t="s">
        <v>2673</v>
      </c>
      <c r="E713" s="1" t="s">
        <v>2674</v>
      </c>
      <c r="F713" s="1" t="s">
        <v>524</v>
      </c>
      <c r="G713" s="1">
        <v>37877</v>
      </c>
      <c r="H713" s="1" t="s">
        <v>525</v>
      </c>
    </row>
    <row r="714" spans="1:8" x14ac:dyDescent="0.35">
      <c r="A714" s="1" t="s">
        <v>2675</v>
      </c>
      <c r="B714" s="1" t="s">
        <v>2676</v>
      </c>
      <c r="C714" s="1" t="s">
        <v>521</v>
      </c>
      <c r="D714" s="1" t="s">
        <v>2677</v>
      </c>
      <c r="E714" s="1" t="s">
        <v>2678</v>
      </c>
      <c r="F714" s="1" t="s">
        <v>524</v>
      </c>
      <c r="G714" s="1">
        <v>37890</v>
      </c>
      <c r="H714" s="1" t="s">
        <v>525</v>
      </c>
    </row>
    <row r="715" spans="1:8" x14ac:dyDescent="0.35">
      <c r="A715" s="1" t="s">
        <v>2679</v>
      </c>
      <c r="B715" s="1" t="s">
        <v>2680</v>
      </c>
      <c r="C715" s="1" t="s">
        <v>521</v>
      </c>
      <c r="D715" s="1" t="s">
        <v>2681</v>
      </c>
      <c r="E715" s="1" t="s">
        <v>2652</v>
      </c>
      <c r="F715" s="1" t="s">
        <v>524</v>
      </c>
      <c r="G715" s="1">
        <v>37760</v>
      </c>
      <c r="H715" s="1" t="s">
        <v>525</v>
      </c>
    </row>
    <row r="716" spans="1:8" x14ac:dyDescent="0.35">
      <c r="A716" s="1" t="s">
        <v>2682</v>
      </c>
      <c r="B716" s="1" t="s">
        <v>2683</v>
      </c>
      <c r="C716" s="1" t="s">
        <v>521</v>
      </c>
      <c r="D716" s="1" t="s">
        <v>2684</v>
      </c>
      <c r="E716" s="1" t="s">
        <v>2685</v>
      </c>
      <c r="F716" s="1" t="s">
        <v>524</v>
      </c>
      <c r="G716" s="1">
        <v>37683</v>
      </c>
      <c r="H716" s="1" t="s">
        <v>525</v>
      </c>
    </row>
    <row r="717" spans="1:8" x14ac:dyDescent="0.35">
      <c r="A717" s="1" t="s">
        <v>223</v>
      </c>
      <c r="B717" s="1" t="s">
        <v>2686</v>
      </c>
      <c r="C717" s="1" t="s">
        <v>521</v>
      </c>
      <c r="D717" s="1" t="s">
        <v>2687</v>
      </c>
      <c r="E717" s="1" t="s">
        <v>2685</v>
      </c>
      <c r="F717" s="1" t="s">
        <v>524</v>
      </c>
      <c r="G717" s="1">
        <v>37683</v>
      </c>
      <c r="H717" s="1" t="s">
        <v>525</v>
      </c>
    </row>
    <row r="718" spans="1:8" x14ac:dyDescent="0.35">
      <c r="A718" s="1" t="s">
        <v>2688</v>
      </c>
      <c r="B718" s="1" t="s">
        <v>2689</v>
      </c>
      <c r="C718" s="1" t="s">
        <v>521</v>
      </c>
      <c r="D718" s="1" t="s">
        <v>2690</v>
      </c>
      <c r="E718" s="1" t="s">
        <v>2685</v>
      </c>
      <c r="F718" s="1" t="s">
        <v>524</v>
      </c>
      <c r="G718" s="1">
        <v>37683</v>
      </c>
      <c r="H718" s="1" t="s">
        <v>525</v>
      </c>
    </row>
    <row r="719" spans="1:8" x14ac:dyDescent="0.35">
      <c r="A719" s="1" t="s">
        <v>2691</v>
      </c>
      <c r="B719" s="1" t="s">
        <v>2692</v>
      </c>
      <c r="C719" s="1" t="s">
        <v>521</v>
      </c>
      <c r="D719" s="1" t="s">
        <v>2693</v>
      </c>
      <c r="E719" s="1" t="s">
        <v>2694</v>
      </c>
      <c r="F719" s="1" t="s">
        <v>524</v>
      </c>
      <c r="G719" s="1">
        <v>37680</v>
      </c>
      <c r="H719" s="1" t="s">
        <v>525</v>
      </c>
    </row>
    <row r="720" spans="1:8" x14ac:dyDescent="0.35">
      <c r="A720" s="1" t="s">
        <v>2695</v>
      </c>
      <c r="B720" s="1" t="s">
        <v>2696</v>
      </c>
      <c r="C720" s="1" t="s">
        <v>521</v>
      </c>
      <c r="D720" s="1" t="s">
        <v>2697</v>
      </c>
      <c r="E720" s="1" t="s">
        <v>2685</v>
      </c>
      <c r="F720" s="1" t="s">
        <v>524</v>
      </c>
      <c r="G720" s="1">
        <v>37683</v>
      </c>
      <c r="H720" s="1" t="s">
        <v>525</v>
      </c>
    </row>
    <row r="721" spans="1:8" x14ac:dyDescent="0.35">
      <c r="A721" s="1" t="s">
        <v>2698</v>
      </c>
      <c r="B721" s="1" t="s">
        <v>2699</v>
      </c>
      <c r="C721" s="1" t="s">
        <v>521</v>
      </c>
      <c r="D721" s="1" t="s">
        <v>2700</v>
      </c>
      <c r="E721" s="1" t="s">
        <v>2685</v>
      </c>
      <c r="F721" s="1" t="s">
        <v>524</v>
      </c>
      <c r="G721" s="1">
        <v>37683</v>
      </c>
      <c r="H721" s="1" t="s">
        <v>525</v>
      </c>
    </row>
    <row r="722" spans="1:8" x14ac:dyDescent="0.35">
      <c r="A722" s="1" t="s">
        <v>2701</v>
      </c>
      <c r="B722" s="1" t="s">
        <v>2702</v>
      </c>
      <c r="C722" s="1" t="s">
        <v>521</v>
      </c>
      <c r="D722" s="1" t="s">
        <v>2703</v>
      </c>
      <c r="E722" s="1" t="s">
        <v>2704</v>
      </c>
      <c r="F722" s="1" t="s">
        <v>524</v>
      </c>
      <c r="G722" s="1">
        <v>37683</v>
      </c>
      <c r="H722" s="1" t="s">
        <v>525</v>
      </c>
    </row>
    <row r="723" spans="1:8" x14ac:dyDescent="0.35">
      <c r="A723" s="1" t="s">
        <v>2705</v>
      </c>
      <c r="B723" s="1" t="s">
        <v>2706</v>
      </c>
      <c r="C723" s="1" t="s">
        <v>521</v>
      </c>
      <c r="D723" s="1" t="s">
        <v>2707</v>
      </c>
      <c r="E723" s="1" t="s">
        <v>2708</v>
      </c>
      <c r="F723" s="1" t="s">
        <v>524</v>
      </c>
      <c r="G723" s="1">
        <v>37931</v>
      </c>
      <c r="H723" s="1" t="s">
        <v>525</v>
      </c>
    </row>
    <row r="724" spans="1:8" x14ac:dyDescent="0.35">
      <c r="A724" s="1" t="s">
        <v>2709</v>
      </c>
      <c r="B724" s="1" t="s">
        <v>2710</v>
      </c>
      <c r="C724" s="1" t="s">
        <v>521</v>
      </c>
      <c r="D724" s="1" t="s">
        <v>2711</v>
      </c>
      <c r="E724" s="1" t="s">
        <v>2708</v>
      </c>
      <c r="F724" s="1" t="s">
        <v>524</v>
      </c>
      <c r="G724" s="1">
        <v>37918</v>
      </c>
      <c r="H724" s="1" t="s">
        <v>525</v>
      </c>
    </row>
    <row r="725" spans="1:8" x14ac:dyDescent="0.35">
      <c r="A725" s="1" t="s">
        <v>225</v>
      </c>
      <c r="B725" s="1" t="s">
        <v>2712</v>
      </c>
      <c r="C725" s="1" t="s">
        <v>521</v>
      </c>
      <c r="D725" s="1" t="s">
        <v>2713</v>
      </c>
      <c r="E725" s="1" t="s">
        <v>2708</v>
      </c>
      <c r="F725" s="1" t="s">
        <v>524</v>
      </c>
      <c r="G725" s="1">
        <v>37914</v>
      </c>
      <c r="H725" s="1" t="s">
        <v>525</v>
      </c>
    </row>
    <row r="726" spans="1:8" x14ac:dyDescent="0.35">
      <c r="A726" s="1" t="s">
        <v>2714</v>
      </c>
      <c r="B726" s="1" t="s">
        <v>2715</v>
      </c>
      <c r="C726" s="1" t="s">
        <v>521</v>
      </c>
      <c r="D726" s="1" t="s">
        <v>2716</v>
      </c>
      <c r="E726" s="1" t="s">
        <v>2708</v>
      </c>
      <c r="F726" s="1" t="s">
        <v>524</v>
      </c>
      <c r="G726" s="1">
        <v>37931</v>
      </c>
      <c r="H726" s="1" t="s">
        <v>525</v>
      </c>
    </row>
    <row r="727" spans="1:8" x14ac:dyDescent="0.35">
      <c r="A727" s="1" t="s">
        <v>2717</v>
      </c>
      <c r="B727" s="1" t="s">
        <v>2718</v>
      </c>
      <c r="C727" s="1" t="s">
        <v>521</v>
      </c>
      <c r="D727" s="1" t="s">
        <v>2719</v>
      </c>
      <c r="E727" s="1" t="s">
        <v>2708</v>
      </c>
      <c r="F727" s="1" t="s">
        <v>524</v>
      </c>
      <c r="G727" s="1">
        <v>37919</v>
      </c>
      <c r="H727" s="1" t="s">
        <v>525</v>
      </c>
    </row>
    <row r="728" spans="1:8" x14ac:dyDescent="0.35">
      <c r="A728" s="1" t="s">
        <v>2720</v>
      </c>
      <c r="B728" s="1" t="s">
        <v>2721</v>
      </c>
      <c r="C728" s="1" t="s">
        <v>521</v>
      </c>
      <c r="D728" s="1" t="s">
        <v>2722</v>
      </c>
      <c r="E728" s="1" t="s">
        <v>2708</v>
      </c>
      <c r="F728" s="1" t="s">
        <v>524</v>
      </c>
      <c r="G728" s="1">
        <v>37909</v>
      </c>
      <c r="H728" s="1" t="s">
        <v>525</v>
      </c>
    </row>
    <row r="729" spans="1:8" x14ac:dyDescent="0.35">
      <c r="A729" s="1" t="s">
        <v>2723</v>
      </c>
      <c r="B729" s="1" t="s">
        <v>2724</v>
      </c>
      <c r="C729" s="1" t="s">
        <v>521</v>
      </c>
      <c r="D729" s="1" t="s">
        <v>2725</v>
      </c>
      <c r="E729" s="1" t="s">
        <v>2708</v>
      </c>
      <c r="F729" s="1" t="s">
        <v>524</v>
      </c>
      <c r="G729" s="1">
        <v>37922</v>
      </c>
      <c r="H729" s="1" t="s">
        <v>525</v>
      </c>
    </row>
    <row r="730" spans="1:8" x14ac:dyDescent="0.35">
      <c r="A730" s="1" t="s">
        <v>227</v>
      </c>
      <c r="B730" s="1" t="s">
        <v>2726</v>
      </c>
      <c r="C730" s="1" t="s">
        <v>521</v>
      </c>
      <c r="D730" s="1" t="s">
        <v>2727</v>
      </c>
      <c r="E730" s="1" t="s">
        <v>2708</v>
      </c>
      <c r="F730" s="1" t="s">
        <v>524</v>
      </c>
      <c r="G730" s="1">
        <v>37919</v>
      </c>
      <c r="H730" s="1" t="s">
        <v>525</v>
      </c>
    </row>
    <row r="731" spans="1:8" x14ac:dyDescent="0.35">
      <c r="A731" s="1" t="s">
        <v>2728</v>
      </c>
      <c r="B731" s="1" t="s">
        <v>2729</v>
      </c>
      <c r="C731" s="1" t="s">
        <v>521</v>
      </c>
      <c r="D731" s="1" t="s">
        <v>2730</v>
      </c>
      <c r="E731" s="1" t="s">
        <v>2708</v>
      </c>
      <c r="F731" s="1" t="s">
        <v>524</v>
      </c>
      <c r="G731" s="1">
        <v>37920</v>
      </c>
      <c r="H731" s="1" t="s">
        <v>525</v>
      </c>
    </row>
    <row r="732" spans="1:8" x14ac:dyDescent="0.35">
      <c r="A732" s="1" t="s">
        <v>2731</v>
      </c>
      <c r="B732" s="1" t="s">
        <v>2732</v>
      </c>
      <c r="C732" s="1" t="s">
        <v>521</v>
      </c>
      <c r="D732" s="1" t="s">
        <v>2733</v>
      </c>
      <c r="E732" s="1" t="s">
        <v>2708</v>
      </c>
      <c r="F732" s="1" t="s">
        <v>524</v>
      </c>
      <c r="G732" s="1">
        <v>37921</v>
      </c>
      <c r="H732" s="1" t="s">
        <v>525</v>
      </c>
    </row>
    <row r="733" spans="1:8" x14ac:dyDescent="0.35">
      <c r="A733" s="1" t="s">
        <v>2734</v>
      </c>
      <c r="B733" s="1" t="s">
        <v>2735</v>
      </c>
      <c r="C733" s="1" t="s">
        <v>521</v>
      </c>
      <c r="D733" s="1" t="s">
        <v>2736</v>
      </c>
      <c r="E733" s="1" t="s">
        <v>2708</v>
      </c>
      <c r="F733" s="1" t="s">
        <v>524</v>
      </c>
      <c r="G733" s="1">
        <v>37917</v>
      </c>
      <c r="H733" s="1" t="s">
        <v>525</v>
      </c>
    </row>
    <row r="734" spans="1:8" x14ac:dyDescent="0.35">
      <c r="A734" s="1" t="s">
        <v>2737</v>
      </c>
      <c r="B734" s="1" t="s">
        <v>2738</v>
      </c>
      <c r="C734" s="1" t="s">
        <v>521</v>
      </c>
      <c r="D734" s="1" t="s">
        <v>2739</v>
      </c>
      <c r="E734" s="1" t="s">
        <v>2708</v>
      </c>
      <c r="F734" s="1" t="s">
        <v>524</v>
      </c>
      <c r="G734" s="1">
        <v>37918</v>
      </c>
      <c r="H734" s="1" t="s">
        <v>525</v>
      </c>
    </row>
    <row r="735" spans="1:8" x14ac:dyDescent="0.35">
      <c r="A735" s="1" t="s">
        <v>2740</v>
      </c>
      <c r="B735" s="1" t="s">
        <v>2741</v>
      </c>
      <c r="C735" s="1" t="s">
        <v>521</v>
      </c>
      <c r="D735" s="1" t="s">
        <v>2742</v>
      </c>
      <c r="E735" s="1" t="s">
        <v>2670</v>
      </c>
      <c r="F735" s="1" t="s">
        <v>524</v>
      </c>
      <c r="G735" s="1">
        <v>37871</v>
      </c>
      <c r="H735" s="1" t="s">
        <v>525</v>
      </c>
    </row>
    <row r="736" spans="1:8" x14ac:dyDescent="0.35">
      <c r="A736" s="1" t="s">
        <v>228</v>
      </c>
      <c r="B736" s="1" t="s">
        <v>2743</v>
      </c>
      <c r="C736" s="1" t="s">
        <v>521</v>
      </c>
      <c r="D736" s="1" t="s">
        <v>2744</v>
      </c>
      <c r="E736" s="1" t="s">
        <v>2670</v>
      </c>
      <c r="F736" s="1" t="s">
        <v>524</v>
      </c>
      <c r="G736" s="1">
        <v>37871</v>
      </c>
      <c r="H736" s="1" t="s">
        <v>525</v>
      </c>
    </row>
    <row r="737" spans="1:8" x14ac:dyDescent="0.35">
      <c r="A737" s="1" t="s">
        <v>2745</v>
      </c>
      <c r="B737" s="1" t="s">
        <v>2746</v>
      </c>
      <c r="C737" s="1" t="s">
        <v>521</v>
      </c>
      <c r="D737" s="1" t="s">
        <v>2747</v>
      </c>
      <c r="E737" s="1" t="s">
        <v>2670</v>
      </c>
      <c r="F737" s="1" t="s">
        <v>524</v>
      </c>
      <c r="G737" s="1">
        <v>37871</v>
      </c>
      <c r="H737" s="1" t="s">
        <v>525</v>
      </c>
    </row>
    <row r="738" spans="1:8" x14ac:dyDescent="0.35">
      <c r="A738" s="1" t="s">
        <v>2748</v>
      </c>
      <c r="B738" s="1" t="s">
        <v>2749</v>
      </c>
      <c r="C738" s="1" t="s">
        <v>521</v>
      </c>
      <c r="D738" s="1" t="s">
        <v>2750</v>
      </c>
      <c r="E738" s="1" t="s">
        <v>2708</v>
      </c>
      <c r="F738" s="1" t="s">
        <v>524</v>
      </c>
      <c r="G738" s="1">
        <v>37923</v>
      </c>
      <c r="H738" s="1" t="s">
        <v>525</v>
      </c>
    </row>
    <row r="739" spans="1:8" x14ac:dyDescent="0.35">
      <c r="A739" s="1" t="s">
        <v>2751</v>
      </c>
      <c r="B739" s="1" t="s">
        <v>2752</v>
      </c>
      <c r="C739" s="1" t="s">
        <v>521</v>
      </c>
      <c r="D739" s="1" t="s">
        <v>2753</v>
      </c>
      <c r="E739" s="1" t="s">
        <v>2708</v>
      </c>
      <c r="F739" s="1" t="s">
        <v>524</v>
      </c>
      <c r="G739" s="1">
        <v>37923</v>
      </c>
      <c r="H739" s="1" t="s">
        <v>525</v>
      </c>
    </row>
    <row r="740" spans="1:8" x14ac:dyDescent="0.35">
      <c r="A740" s="1" t="s">
        <v>229</v>
      </c>
      <c r="B740" s="1" t="s">
        <v>915</v>
      </c>
      <c r="C740" s="1" t="s">
        <v>521</v>
      </c>
      <c r="D740" s="1" t="s">
        <v>2754</v>
      </c>
      <c r="E740" s="1" t="s">
        <v>2708</v>
      </c>
      <c r="F740" s="1" t="s">
        <v>524</v>
      </c>
      <c r="G740" s="1">
        <v>37918</v>
      </c>
      <c r="H740" s="1" t="s">
        <v>525</v>
      </c>
    </row>
    <row r="741" spans="1:8" x14ac:dyDescent="0.35">
      <c r="A741" s="1" t="s">
        <v>2755</v>
      </c>
      <c r="B741" s="1" t="s">
        <v>2756</v>
      </c>
      <c r="C741" s="1" t="s">
        <v>521</v>
      </c>
      <c r="D741" s="1" t="s">
        <v>2757</v>
      </c>
      <c r="E741" s="1" t="s">
        <v>537</v>
      </c>
      <c r="F741" s="1" t="s">
        <v>524</v>
      </c>
      <c r="G741" s="1">
        <v>37849</v>
      </c>
      <c r="H741" s="1" t="s">
        <v>525</v>
      </c>
    </row>
    <row r="742" spans="1:8" x14ac:dyDescent="0.35">
      <c r="A742" s="1" t="s">
        <v>2758</v>
      </c>
      <c r="B742" s="1" t="s">
        <v>2759</v>
      </c>
      <c r="C742" s="1" t="s">
        <v>521</v>
      </c>
      <c r="D742" s="1" t="s">
        <v>2760</v>
      </c>
      <c r="E742" s="1" t="s">
        <v>2708</v>
      </c>
      <c r="F742" s="1" t="s">
        <v>524</v>
      </c>
      <c r="G742" s="1">
        <v>37914</v>
      </c>
      <c r="H742" s="1" t="s">
        <v>525</v>
      </c>
    </row>
    <row r="743" spans="1:8" x14ac:dyDescent="0.35">
      <c r="A743" s="1" t="s">
        <v>2761</v>
      </c>
      <c r="B743" s="1" t="s">
        <v>2762</v>
      </c>
      <c r="C743" s="1" t="s">
        <v>521</v>
      </c>
      <c r="D743" s="1" t="s">
        <v>2763</v>
      </c>
      <c r="E743" s="1" t="s">
        <v>2764</v>
      </c>
      <c r="F743" s="1" t="s">
        <v>524</v>
      </c>
      <c r="G743" s="1">
        <v>37721</v>
      </c>
      <c r="H743" s="1" t="s">
        <v>525</v>
      </c>
    </row>
    <row r="744" spans="1:8" x14ac:dyDescent="0.35">
      <c r="A744" s="1" t="s">
        <v>2765</v>
      </c>
      <c r="B744" s="1" t="s">
        <v>2766</v>
      </c>
      <c r="C744" s="1" t="s">
        <v>521</v>
      </c>
      <c r="D744" s="1" t="s">
        <v>2767</v>
      </c>
      <c r="E744" s="1" t="s">
        <v>2708</v>
      </c>
      <c r="F744" s="1" t="s">
        <v>524</v>
      </c>
      <c r="G744" s="1">
        <v>37920</v>
      </c>
      <c r="H744" s="1" t="s">
        <v>525</v>
      </c>
    </row>
    <row r="745" spans="1:8" x14ac:dyDescent="0.35">
      <c r="A745" s="1" t="s">
        <v>2768</v>
      </c>
      <c r="B745" s="1" t="s">
        <v>2769</v>
      </c>
      <c r="C745" s="1" t="s">
        <v>521</v>
      </c>
      <c r="D745" s="1" t="s">
        <v>2770</v>
      </c>
      <c r="E745" s="1" t="s">
        <v>2708</v>
      </c>
      <c r="F745" s="1" t="s">
        <v>524</v>
      </c>
      <c r="G745" s="1">
        <v>37917</v>
      </c>
      <c r="H745" s="1" t="s">
        <v>525</v>
      </c>
    </row>
    <row r="746" spans="1:8" x14ac:dyDescent="0.35">
      <c r="A746" s="1" t="s">
        <v>230</v>
      </c>
      <c r="B746" s="1" t="s">
        <v>2771</v>
      </c>
      <c r="C746" s="1" t="s">
        <v>521</v>
      </c>
      <c r="D746" s="1" t="s">
        <v>2772</v>
      </c>
      <c r="E746" s="1" t="s">
        <v>2708</v>
      </c>
      <c r="F746" s="1" t="s">
        <v>524</v>
      </c>
      <c r="G746" s="1">
        <v>37920</v>
      </c>
      <c r="H746" s="1" t="s">
        <v>525</v>
      </c>
    </row>
    <row r="747" spans="1:8" x14ac:dyDescent="0.35">
      <c r="A747" s="1" t="s">
        <v>2773</v>
      </c>
      <c r="B747" s="1" t="s">
        <v>2774</v>
      </c>
      <c r="C747" s="1" t="s">
        <v>521</v>
      </c>
      <c r="D747" s="1" t="s">
        <v>2775</v>
      </c>
      <c r="E747" s="1" t="s">
        <v>2708</v>
      </c>
      <c r="F747" s="1" t="s">
        <v>524</v>
      </c>
      <c r="G747" s="1">
        <v>37922</v>
      </c>
      <c r="H747" s="1" t="s">
        <v>525</v>
      </c>
    </row>
    <row r="748" spans="1:8" x14ac:dyDescent="0.35">
      <c r="A748" s="1" t="s">
        <v>2776</v>
      </c>
      <c r="B748" s="1" t="s">
        <v>2777</v>
      </c>
      <c r="C748" s="1" t="s">
        <v>521</v>
      </c>
      <c r="D748" s="1" t="s">
        <v>2778</v>
      </c>
      <c r="E748" s="1" t="s">
        <v>2708</v>
      </c>
      <c r="F748" s="1" t="s">
        <v>524</v>
      </c>
      <c r="G748" s="1">
        <v>37920</v>
      </c>
      <c r="H748" s="1" t="s">
        <v>525</v>
      </c>
    </row>
    <row r="749" spans="1:8" x14ac:dyDescent="0.35">
      <c r="A749" s="1" t="s">
        <v>2779</v>
      </c>
      <c r="B749" s="1" t="s">
        <v>2780</v>
      </c>
      <c r="C749" s="1" t="s">
        <v>521</v>
      </c>
      <c r="D749" s="1" t="s">
        <v>2781</v>
      </c>
      <c r="E749" s="1" t="s">
        <v>2782</v>
      </c>
      <c r="F749" s="1" t="s">
        <v>524</v>
      </c>
      <c r="G749" s="1">
        <v>37806</v>
      </c>
      <c r="H749" s="1" t="s">
        <v>525</v>
      </c>
    </row>
    <row r="750" spans="1:8" x14ac:dyDescent="0.35">
      <c r="A750" s="1" t="s">
        <v>2783</v>
      </c>
      <c r="B750" s="1" t="s">
        <v>2784</v>
      </c>
      <c r="C750" s="1" t="s">
        <v>521</v>
      </c>
      <c r="D750" s="1" t="s">
        <v>2785</v>
      </c>
      <c r="E750" s="1" t="s">
        <v>2708</v>
      </c>
      <c r="F750" s="1" t="s">
        <v>524</v>
      </c>
      <c r="G750" s="1">
        <v>37922</v>
      </c>
      <c r="H750" s="1" t="s">
        <v>525</v>
      </c>
    </row>
    <row r="751" spans="1:8" x14ac:dyDescent="0.35">
      <c r="A751" s="1" t="s">
        <v>2786</v>
      </c>
      <c r="B751" s="1" t="s">
        <v>2787</v>
      </c>
      <c r="C751" s="1" t="s">
        <v>521</v>
      </c>
      <c r="D751" s="1" t="s">
        <v>2788</v>
      </c>
      <c r="E751" s="1" t="s">
        <v>2708</v>
      </c>
      <c r="F751" s="1" t="s">
        <v>524</v>
      </c>
      <c r="G751" s="1">
        <v>37922</v>
      </c>
      <c r="H751" s="1" t="s">
        <v>525</v>
      </c>
    </row>
    <row r="752" spans="1:8" x14ac:dyDescent="0.35">
      <c r="A752" s="1" t="s">
        <v>231</v>
      </c>
      <c r="B752" s="1" t="s">
        <v>2789</v>
      </c>
      <c r="C752" s="1" t="s">
        <v>521</v>
      </c>
      <c r="D752" s="1" t="s">
        <v>2790</v>
      </c>
      <c r="E752" s="1" t="s">
        <v>2708</v>
      </c>
      <c r="F752" s="1" t="s">
        <v>524</v>
      </c>
      <c r="G752" s="1">
        <v>37922</v>
      </c>
      <c r="H752" s="1" t="s">
        <v>525</v>
      </c>
    </row>
    <row r="753" spans="1:8" x14ac:dyDescent="0.35">
      <c r="A753" s="1" t="s">
        <v>2791</v>
      </c>
      <c r="B753" s="1" t="s">
        <v>2792</v>
      </c>
      <c r="C753" s="1" t="s">
        <v>521</v>
      </c>
      <c r="D753" s="1" t="s">
        <v>2793</v>
      </c>
      <c r="E753" s="1" t="s">
        <v>2708</v>
      </c>
      <c r="F753" s="1" t="s">
        <v>524</v>
      </c>
      <c r="G753" s="1">
        <v>37922</v>
      </c>
      <c r="H753" s="1" t="s">
        <v>525</v>
      </c>
    </row>
    <row r="754" spans="1:8" x14ac:dyDescent="0.35">
      <c r="A754" s="1" t="s">
        <v>2794</v>
      </c>
      <c r="B754" s="1" t="s">
        <v>2795</v>
      </c>
      <c r="C754" s="1" t="s">
        <v>521</v>
      </c>
      <c r="D754" s="1" t="s">
        <v>2796</v>
      </c>
      <c r="E754" s="1" t="s">
        <v>2708</v>
      </c>
      <c r="F754" s="1" t="s">
        <v>524</v>
      </c>
      <c r="G754" s="1">
        <v>37920</v>
      </c>
      <c r="H754" s="1" t="s">
        <v>525</v>
      </c>
    </row>
    <row r="755" spans="1:8" x14ac:dyDescent="0.35">
      <c r="A755" s="1" t="s">
        <v>2797</v>
      </c>
      <c r="B755" s="1" t="s">
        <v>2798</v>
      </c>
      <c r="C755" s="1" t="s">
        <v>521</v>
      </c>
      <c r="D755" s="1" t="s">
        <v>2799</v>
      </c>
      <c r="E755" s="1" t="s">
        <v>2708</v>
      </c>
      <c r="F755" s="1" t="s">
        <v>524</v>
      </c>
      <c r="G755" s="1">
        <v>37918</v>
      </c>
      <c r="H755" s="1" t="s">
        <v>525</v>
      </c>
    </row>
    <row r="756" spans="1:8" x14ac:dyDescent="0.35">
      <c r="A756" s="1" t="s">
        <v>232</v>
      </c>
      <c r="B756" s="1" t="s">
        <v>2800</v>
      </c>
      <c r="C756" s="1" t="s">
        <v>521</v>
      </c>
      <c r="D756" s="1" t="s">
        <v>2801</v>
      </c>
      <c r="E756" s="1" t="s">
        <v>2708</v>
      </c>
      <c r="F756" s="1" t="s">
        <v>524</v>
      </c>
      <c r="G756" s="1">
        <v>37917</v>
      </c>
      <c r="H756" s="1" t="s">
        <v>525</v>
      </c>
    </row>
    <row r="757" spans="1:8" x14ac:dyDescent="0.35">
      <c r="A757" s="1" t="s">
        <v>2802</v>
      </c>
      <c r="B757" s="1" t="s">
        <v>2803</v>
      </c>
      <c r="C757" s="1" t="s">
        <v>521</v>
      </c>
      <c r="D757" s="1" t="s">
        <v>2804</v>
      </c>
      <c r="E757" s="1" t="s">
        <v>2764</v>
      </c>
      <c r="F757" s="1" t="s">
        <v>524</v>
      </c>
      <c r="G757" s="1">
        <v>37721</v>
      </c>
      <c r="H757" s="1" t="s">
        <v>525</v>
      </c>
    </row>
    <row r="758" spans="1:8" x14ac:dyDescent="0.35">
      <c r="A758" s="1" t="s">
        <v>233</v>
      </c>
      <c r="B758" s="1" t="s">
        <v>2805</v>
      </c>
      <c r="C758" s="1" t="s">
        <v>521</v>
      </c>
      <c r="D758" s="1" t="s">
        <v>2806</v>
      </c>
      <c r="E758" s="1" t="s">
        <v>2764</v>
      </c>
      <c r="F758" s="1" t="s">
        <v>524</v>
      </c>
      <c r="G758" s="1">
        <v>37721</v>
      </c>
      <c r="H758" s="1" t="s">
        <v>525</v>
      </c>
    </row>
    <row r="759" spans="1:8" x14ac:dyDescent="0.35">
      <c r="A759" s="1" t="s">
        <v>2807</v>
      </c>
      <c r="B759" s="1" t="s">
        <v>2808</v>
      </c>
      <c r="C759" s="1" t="s">
        <v>521</v>
      </c>
      <c r="D759" s="1" t="s">
        <v>2809</v>
      </c>
      <c r="E759" s="1" t="s">
        <v>2708</v>
      </c>
      <c r="F759" s="1" t="s">
        <v>524</v>
      </c>
      <c r="G759" s="1">
        <v>37938</v>
      </c>
      <c r="H759" s="1" t="s">
        <v>525</v>
      </c>
    </row>
    <row r="760" spans="1:8" x14ac:dyDescent="0.35">
      <c r="A760" s="1" t="s">
        <v>2810</v>
      </c>
      <c r="B760" s="1" t="s">
        <v>2811</v>
      </c>
      <c r="C760" s="1" t="s">
        <v>521</v>
      </c>
      <c r="D760" s="1" t="s">
        <v>2812</v>
      </c>
      <c r="E760" s="1" t="s">
        <v>2708</v>
      </c>
      <c r="F760" s="1" t="s">
        <v>524</v>
      </c>
      <c r="G760" s="1">
        <v>37915</v>
      </c>
      <c r="H760" s="1" t="s">
        <v>525</v>
      </c>
    </row>
    <row r="761" spans="1:8" x14ac:dyDescent="0.35">
      <c r="A761" s="1" t="s">
        <v>234</v>
      </c>
      <c r="B761" s="1" t="s">
        <v>2813</v>
      </c>
      <c r="C761" s="1" t="s">
        <v>521</v>
      </c>
      <c r="D761" s="1" t="s">
        <v>2814</v>
      </c>
      <c r="E761" s="1" t="s">
        <v>2708</v>
      </c>
      <c r="F761" s="1" t="s">
        <v>524</v>
      </c>
      <c r="G761" s="1">
        <v>37938</v>
      </c>
      <c r="H761" s="1" t="s">
        <v>525</v>
      </c>
    </row>
    <row r="762" spans="1:8" x14ac:dyDescent="0.35">
      <c r="A762" s="1" t="s">
        <v>2815</v>
      </c>
      <c r="B762" s="1" t="s">
        <v>2816</v>
      </c>
      <c r="C762" s="1" t="s">
        <v>521</v>
      </c>
      <c r="D762" s="1" t="s">
        <v>2817</v>
      </c>
      <c r="E762" s="1" t="s">
        <v>2708</v>
      </c>
      <c r="F762" s="1" t="s">
        <v>524</v>
      </c>
      <c r="G762" s="1">
        <v>37918</v>
      </c>
      <c r="H762" s="1" t="s">
        <v>525</v>
      </c>
    </row>
    <row r="763" spans="1:8" x14ac:dyDescent="0.35">
      <c r="A763" s="1" t="s">
        <v>2818</v>
      </c>
      <c r="B763" s="1" t="s">
        <v>2819</v>
      </c>
      <c r="C763" s="1" t="s">
        <v>521</v>
      </c>
      <c r="D763" s="1" t="s">
        <v>2820</v>
      </c>
      <c r="E763" s="1" t="s">
        <v>2708</v>
      </c>
      <c r="F763" s="1" t="s">
        <v>524</v>
      </c>
      <c r="G763" s="1">
        <v>37938</v>
      </c>
      <c r="H763" s="1" t="s">
        <v>525</v>
      </c>
    </row>
    <row r="764" spans="1:8" x14ac:dyDescent="0.35">
      <c r="A764" s="1" t="s">
        <v>2821</v>
      </c>
      <c r="B764" s="1" t="s">
        <v>2822</v>
      </c>
      <c r="C764" s="1" t="s">
        <v>521</v>
      </c>
      <c r="D764" s="1" t="s">
        <v>2823</v>
      </c>
      <c r="E764" s="1" t="s">
        <v>2708</v>
      </c>
      <c r="F764" s="1" t="s">
        <v>524</v>
      </c>
      <c r="G764" s="1">
        <v>37924</v>
      </c>
      <c r="H764" s="1" t="s">
        <v>525</v>
      </c>
    </row>
    <row r="765" spans="1:8" x14ac:dyDescent="0.35">
      <c r="A765" s="1" t="s">
        <v>2824</v>
      </c>
      <c r="B765" s="1" t="s">
        <v>2825</v>
      </c>
      <c r="C765" s="1" t="s">
        <v>521</v>
      </c>
      <c r="D765" s="1" t="s">
        <v>2826</v>
      </c>
      <c r="E765" s="1" t="s">
        <v>2708</v>
      </c>
      <c r="F765" s="1" t="s">
        <v>524</v>
      </c>
      <c r="G765" s="1">
        <v>37932</v>
      </c>
      <c r="H765" s="1" t="s">
        <v>525</v>
      </c>
    </row>
    <row r="766" spans="1:8" x14ac:dyDescent="0.35">
      <c r="A766" s="1" t="s">
        <v>235</v>
      </c>
      <c r="B766" s="1" t="s">
        <v>2827</v>
      </c>
      <c r="C766" s="1" t="s">
        <v>521</v>
      </c>
      <c r="D766" s="1" t="s">
        <v>2828</v>
      </c>
      <c r="E766" s="1" t="s">
        <v>2708</v>
      </c>
      <c r="F766" s="1" t="s">
        <v>524</v>
      </c>
      <c r="G766" s="1">
        <v>37932</v>
      </c>
      <c r="H766" s="1" t="s">
        <v>525</v>
      </c>
    </row>
    <row r="767" spans="1:8" x14ac:dyDescent="0.35">
      <c r="A767" s="1" t="s">
        <v>2829</v>
      </c>
      <c r="B767" s="1" t="s">
        <v>2830</v>
      </c>
      <c r="C767" s="1" t="s">
        <v>521</v>
      </c>
      <c r="D767" s="1" t="s">
        <v>2831</v>
      </c>
      <c r="E767" s="1" t="s">
        <v>2708</v>
      </c>
      <c r="F767" s="1" t="s">
        <v>524</v>
      </c>
      <c r="G767" s="1">
        <v>37912</v>
      </c>
      <c r="H767" s="1" t="s">
        <v>525</v>
      </c>
    </row>
    <row r="768" spans="1:8" x14ac:dyDescent="0.35">
      <c r="A768" s="1" t="s">
        <v>2832</v>
      </c>
      <c r="B768" s="1" t="s">
        <v>2833</v>
      </c>
      <c r="C768" s="1" t="s">
        <v>521</v>
      </c>
      <c r="D768" s="1" t="s">
        <v>2834</v>
      </c>
      <c r="E768" s="1" t="s">
        <v>2708</v>
      </c>
      <c r="F768" s="1" t="s">
        <v>524</v>
      </c>
      <c r="G768" s="1">
        <v>37931</v>
      </c>
      <c r="H768" s="1" t="s">
        <v>525</v>
      </c>
    </row>
    <row r="769" spans="1:8" x14ac:dyDescent="0.35">
      <c r="A769" s="1" t="s">
        <v>2835</v>
      </c>
      <c r="B769" s="1" t="s">
        <v>2836</v>
      </c>
      <c r="C769" s="1" t="s">
        <v>521</v>
      </c>
      <c r="D769" s="1" t="s">
        <v>2837</v>
      </c>
      <c r="E769" s="1" t="s">
        <v>2708</v>
      </c>
      <c r="F769" s="1" t="s">
        <v>524</v>
      </c>
      <c r="G769" s="1">
        <v>37931</v>
      </c>
      <c r="H769" s="1" t="s">
        <v>525</v>
      </c>
    </row>
    <row r="770" spans="1:8" x14ac:dyDescent="0.35">
      <c r="A770" s="1" t="s">
        <v>236</v>
      </c>
      <c r="B770" s="1" t="s">
        <v>2838</v>
      </c>
      <c r="C770" s="1" t="s">
        <v>521</v>
      </c>
      <c r="D770" s="1" t="s">
        <v>2839</v>
      </c>
      <c r="E770" s="1" t="s">
        <v>2708</v>
      </c>
      <c r="F770" s="1" t="s">
        <v>524</v>
      </c>
      <c r="G770" s="1">
        <v>37931</v>
      </c>
      <c r="H770" s="1" t="s">
        <v>525</v>
      </c>
    </row>
    <row r="771" spans="1:8" x14ac:dyDescent="0.35">
      <c r="A771" s="1" t="s">
        <v>237</v>
      </c>
      <c r="B771" s="1" t="s">
        <v>2840</v>
      </c>
      <c r="C771" s="1" t="s">
        <v>521</v>
      </c>
      <c r="D771" s="1" t="s">
        <v>2841</v>
      </c>
      <c r="E771" s="1" t="s">
        <v>2708</v>
      </c>
      <c r="F771" s="1" t="s">
        <v>524</v>
      </c>
      <c r="G771" s="1">
        <v>37919</v>
      </c>
      <c r="H771" s="1" t="s">
        <v>525</v>
      </c>
    </row>
    <row r="772" spans="1:8" x14ac:dyDescent="0.35">
      <c r="A772" s="1" t="s">
        <v>2842</v>
      </c>
      <c r="B772" s="1" t="s">
        <v>2843</v>
      </c>
      <c r="C772" s="1" t="s">
        <v>521</v>
      </c>
      <c r="D772" s="1" t="s">
        <v>2844</v>
      </c>
      <c r="E772" s="1" t="s">
        <v>2708</v>
      </c>
      <c r="F772" s="1" t="s">
        <v>524</v>
      </c>
      <c r="G772" s="1">
        <v>37921</v>
      </c>
      <c r="H772" s="1" t="s">
        <v>525</v>
      </c>
    </row>
    <row r="773" spans="1:8" x14ac:dyDescent="0.35">
      <c r="A773" s="1" t="s">
        <v>2845</v>
      </c>
      <c r="B773" s="1" t="s">
        <v>2846</v>
      </c>
      <c r="C773" s="1" t="s">
        <v>521</v>
      </c>
      <c r="D773" s="1" t="s">
        <v>2847</v>
      </c>
      <c r="E773" s="1" t="s">
        <v>2708</v>
      </c>
      <c r="F773" s="1" t="s">
        <v>524</v>
      </c>
      <c r="G773" s="1">
        <v>37921</v>
      </c>
      <c r="H773" s="1" t="s">
        <v>525</v>
      </c>
    </row>
    <row r="774" spans="1:8" x14ac:dyDescent="0.35">
      <c r="A774" s="1" t="s">
        <v>2848</v>
      </c>
      <c r="B774" s="1" t="s">
        <v>2849</v>
      </c>
      <c r="C774" s="1" t="s">
        <v>521</v>
      </c>
      <c r="D774" s="1" t="s">
        <v>2850</v>
      </c>
      <c r="E774" s="1" t="s">
        <v>2708</v>
      </c>
      <c r="F774" s="1" t="s">
        <v>524</v>
      </c>
      <c r="G774" s="1">
        <v>37920</v>
      </c>
      <c r="H774" s="1" t="s">
        <v>525</v>
      </c>
    </row>
    <row r="775" spans="1:8" x14ac:dyDescent="0.35">
      <c r="A775" s="1" t="s">
        <v>2851</v>
      </c>
      <c r="B775" s="1" t="s">
        <v>2852</v>
      </c>
      <c r="C775" s="1" t="s">
        <v>521</v>
      </c>
      <c r="D775" s="1" t="s">
        <v>2853</v>
      </c>
      <c r="E775" s="1" t="s">
        <v>2708</v>
      </c>
      <c r="F775" s="1" t="s">
        <v>524</v>
      </c>
      <c r="G775" s="1">
        <v>37920</v>
      </c>
      <c r="H775" s="1" t="s">
        <v>525</v>
      </c>
    </row>
    <row r="776" spans="1:8" x14ac:dyDescent="0.35">
      <c r="A776" s="1" t="s">
        <v>2854</v>
      </c>
      <c r="B776" s="1" t="s">
        <v>2855</v>
      </c>
      <c r="C776" s="1" t="s">
        <v>521</v>
      </c>
      <c r="D776" s="1" t="s">
        <v>2856</v>
      </c>
      <c r="E776" s="1" t="s">
        <v>2708</v>
      </c>
      <c r="F776" s="1" t="s">
        <v>524</v>
      </c>
      <c r="G776" s="1">
        <v>37920</v>
      </c>
      <c r="H776" s="1" t="s">
        <v>525</v>
      </c>
    </row>
    <row r="777" spans="1:8" x14ac:dyDescent="0.35">
      <c r="A777" s="1" t="s">
        <v>2857</v>
      </c>
      <c r="B777" s="1" t="s">
        <v>568</v>
      </c>
      <c r="C777" s="1" t="s">
        <v>521</v>
      </c>
      <c r="D777" s="1" t="s">
        <v>2858</v>
      </c>
      <c r="E777" s="1" t="s">
        <v>2708</v>
      </c>
      <c r="F777" s="1" t="s">
        <v>524</v>
      </c>
      <c r="G777" s="1">
        <v>37912</v>
      </c>
      <c r="H777" s="1" t="s">
        <v>525</v>
      </c>
    </row>
    <row r="778" spans="1:8" x14ac:dyDescent="0.35">
      <c r="A778" s="1" t="s">
        <v>2859</v>
      </c>
      <c r="B778" s="1" t="s">
        <v>2860</v>
      </c>
      <c r="C778" s="1" t="s">
        <v>521</v>
      </c>
      <c r="D778" s="1" t="s">
        <v>2861</v>
      </c>
      <c r="E778" s="1" t="s">
        <v>537</v>
      </c>
      <c r="F778" s="1" t="s">
        <v>524</v>
      </c>
      <c r="G778" s="1">
        <v>37849</v>
      </c>
      <c r="H778" s="1" t="s">
        <v>525</v>
      </c>
    </row>
    <row r="779" spans="1:8" x14ac:dyDescent="0.35">
      <c r="A779" s="1" t="s">
        <v>2862</v>
      </c>
      <c r="B779" s="1" t="s">
        <v>2863</v>
      </c>
      <c r="C779" s="1" t="s">
        <v>521</v>
      </c>
      <c r="D779" s="1" t="s">
        <v>2864</v>
      </c>
      <c r="E779" s="1" t="s">
        <v>537</v>
      </c>
      <c r="F779" s="1" t="s">
        <v>524</v>
      </c>
      <c r="G779" s="1">
        <v>37849</v>
      </c>
      <c r="H779" s="1" t="s">
        <v>525</v>
      </c>
    </row>
    <row r="780" spans="1:8" x14ac:dyDescent="0.35">
      <c r="A780" s="1" t="s">
        <v>238</v>
      </c>
      <c r="B780" s="1" t="s">
        <v>2865</v>
      </c>
      <c r="C780" s="1" t="s">
        <v>521</v>
      </c>
      <c r="D780" s="1" t="s">
        <v>2866</v>
      </c>
      <c r="E780" s="1" t="s">
        <v>537</v>
      </c>
      <c r="F780" s="1" t="s">
        <v>524</v>
      </c>
      <c r="G780" s="1">
        <v>37849</v>
      </c>
      <c r="H780" s="1" t="s">
        <v>525</v>
      </c>
    </row>
    <row r="781" spans="1:8" x14ac:dyDescent="0.35">
      <c r="A781" s="1" t="s">
        <v>2867</v>
      </c>
      <c r="B781" s="1" t="s">
        <v>2868</v>
      </c>
      <c r="C781" s="1" t="s">
        <v>521</v>
      </c>
      <c r="D781" s="1" t="s">
        <v>2869</v>
      </c>
      <c r="E781" s="1" t="s">
        <v>2708</v>
      </c>
      <c r="F781" s="1" t="s">
        <v>524</v>
      </c>
      <c r="G781" s="1">
        <v>37912</v>
      </c>
      <c r="H781" s="1" t="s">
        <v>525</v>
      </c>
    </row>
    <row r="782" spans="1:8" x14ac:dyDescent="0.35">
      <c r="A782" s="1" t="s">
        <v>2870</v>
      </c>
      <c r="B782" s="1" t="s">
        <v>2871</v>
      </c>
      <c r="C782" s="1" t="s">
        <v>521</v>
      </c>
      <c r="D782" s="1" t="s">
        <v>2872</v>
      </c>
      <c r="E782" s="1" t="s">
        <v>2708</v>
      </c>
      <c r="F782" s="1" t="s">
        <v>524</v>
      </c>
      <c r="G782" s="1">
        <v>37918</v>
      </c>
      <c r="H782" s="1" t="s">
        <v>525</v>
      </c>
    </row>
    <row r="783" spans="1:8" x14ac:dyDescent="0.35">
      <c r="A783" s="1" t="s">
        <v>2873</v>
      </c>
      <c r="B783" s="1" t="s">
        <v>2874</v>
      </c>
      <c r="C783" s="1" t="s">
        <v>521</v>
      </c>
      <c r="D783" s="1" t="s">
        <v>2875</v>
      </c>
      <c r="E783" s="1" t="s">
        <v>2708</v>
      </c>
      <c r="F783" s="1" t="s">
        <v>524</v>
      </c>
      <c r="G783" s="1">
        <v>37921</v>
      </c>
      <c r="H783" s="1" t="s">
        <v>525</v>
      </c>
    </row>
    <row r="784" spans="1:8" x14ac:dyDescent="0.35">
      <c r="A784" s="1" t="s">
        <v>2876</v>
      </c>
      <c r="B784" s="1" t="s">
        <v>2877</v>
      </c>
      <c r="C784" s="1" t="s">
        <v>521</v>
      </c>
      <c r="D784" s="1" t="s">
        <v>2878</v>
      </c>
      <c r="E784" s="1" t="s">
        <v>2708</v>
      </c>
      <c r="F784" s="1" t="s">
        <v>524</v>
      </c>
      <c r="G784" s="1">
        <v>37909</v>
      </c>
      <c r="H784" s="1" t="s">
        <v>525</v>
      </c>
    </row>
    <row r="785" spans="1:8" x14ac:dyDescent="0.35">
      <c r="A785" s="1" t="s">
        <v>2879</v>
      </c>
      <c r="B785" s="1" t="s">
        <v>2880</v>
      </c>
      <c r="C785" s="1" t="s">
        <v>521</v>
      </c>
      <c r="D785" s="1" t="s">
        <v>2881</v>
      </c>
      <c r="E785" s="1" t="s">
        <v>2708</v>
      </c>
      <c r="F785" s="1" t="s">
        <v>524</v>
      </c>
      <c r="G785" s="1">
        <v>37924</v>
      </c>
      <c r="H785" s="1" t="s">
        <v>525</v>
      </c>
    </row>
    <row r="786" spans="1:8" x14ac:dyDescent="0.35">
      <c r="A786" s="1" t="s">
        <v>2882</v>
      </c>
      <c r="B786" s="1" t="s">
        <v>2883</v>
      </c>
      <c r="C786" s="1" t="s">
        <v>521</v>
      </c>
      <c r="D786" s="1" t="s">
        <v>2884</v>
      </c>
      <c r="E786" s="1" t="s">
        <v>2708</v>
      </c>
      <c r="F786" s="1" t="s">
        <v>524</v>
      </c>
      <c r="G786" s="1">
        <v>37919</v>
      </c>
      <c r="H786" s="1" t="s">
        <v>525</v>
      </c>
    </row>
    <row r="787" spans="1:8" x14ac:dyDescent="0.35">
      <c r="A787" s="1" t="s">
        <v>2885</v>
      </c>
      <c r="B787" s="1" t="s">
        <v>2886</v>
      </c>
      <c r="C787" s="1" t="s">
        <v>521</v>
      </c>
      <c r="D787" s="1" t="s">
        <v>2887</v>
      </c>
      <c r="E787" s="1" t="s">
        <v>2708</v>
      </c>
      <c r="F787" s="1" t="s">
        <v>524</v>
      </c>
      <c r="G787" s="1">
        <v>37914</v>
      </c>
      <c r="H787" s="1" t="s">
        <v>525</v>
      </c>
    </row>
    <row r="788" spans="1:8" x14ac:dyDescent="0.35">
      <c r="A788" s="1" t="s">
        <v>2888</v>
      </c>
      <c r="B788" s="1" t="s">
        <v>2889</v>
      </c>
      <c r="C788" s="1" t="s">
        <v>521</v>
      </c>
      <c r="D788" s="1" t="s">
        <v>2890</v>
      </c>
      <c r="E788" s="1" t="s">
        <v>2708</v>
      </c>
      <c r="F788" s="1" t="s">
        <v>524</v>
      </c>
      <c r="G788" s="1">
        <v>37919</v>
      </c>
      <c r="H788" s="1" t="s">
        <v>525</v>
      </c>
    </row>
    <row r="789" spans="1:8" x14ac:dyDescent="0.35">
      <c r="A789" s="1" t="s">
        <v>2891</v>
      </c>
      <c r="B789" s="1" t="s">
        <v>2892</v>
      </c>
      <c r="C789" s="1" t="s">
        <v>521</v>
      </c>
      <c r="D789" s="1" t="s">
        <v>2893</v>
      </c>
      <c r="E789" s="1" t="s">
        <v>2708</v>
      </c>
      <c r="F789" s="1" t="s">
        <v>524</v>
      </c>
      <c r="G789" s="1">
        <v>37918</v>
      </c>
      <c r="H789" s="1" t="s">
        <v>525</v>
      </c>
    </row>
    <row r="790" spans="1:8" x14ac:dyDescent="0.35">
      <c r="A790" s="1" t="s">
        <v>2894</v>
      </c>
      <c r="B790" s="1" t="s">
        <v>2895</v>
      </c>
      <c r="C790" s="1" t="s">
        <v>521</v>
      </c>
      <c r="D790" s="1" t="s">
        <v>2896</v>
      </c>
      <c r="E790" s="1" t="s">
        <v>2708</v>
      </c>
      <c r="F790" s="1" t="s">
        <v>524</v>
      </c>
      <c r="G790" s="1">
        <v>37920</v>
      </c>
      <c r="H790" s="1" t="s">
        <v>525</v>
      </c>
    </row>
    <row r="791" spans="1:8" x14ac:dyDescent="0.35">
      <c r="A791" s="1" t="s">
        <v>2897</v>
      </c>
      <c r="B791" s="1" t="s">
        <v>1966</v>
      </c>
      <c r="C791" s="1" t="s">
        <v>521</v>
      </c>
      <c r="D791" s="1" t="s">
        <v>2898</v>
      </c>
      <c r="E791" s="1" t="s">
        <v>2708</v>
      </c>
      <c r="F791" s="1" t="s">
        <v>524</v>
      </c>
      <c r="G791" s="1">
        <v>37914</v>
      </c>
      <c r="H791" s="1" t="s">
        <v>525</v>
      </c>
    </row>
    <row r="792" spans="1:8" x14ac:dyDescent="0.35">
      <c r="A792" s="1" t="s">
        <v>2899</v>
      </c>
      <c r="B792" s="1" t="s">
        <v>2900</v>
      </c>
      <c r="C792" s="1" t="s">
        <v>521</v>
      </c>
      <c r="D792" s="1" t="s">
        <v>2901</v>
      </c>
      <c r="E792" s="1" t="s">
        <v>2708</v>
      </c>
      <c r="F792" s="1" t="s">
        <v>524</v>
      </c>
      <c r="G792" s="1">
        <v>37912</v>
      </c>
      <c r="H792" s="1" t="s">
        <v>525</v>
      </c>
    </row>
    <row r="793" spans="1:8" x14ac:dyDescent="0.35">
      <c r="A793" s="1" t="s">
        <v>2902</v>
      </c>
      <c r="B793" s="1" t="s">
        <v>2903</v>
      </c>
      <c r="C793" s="1" t="s">
        <v>521</v>
      </c>
      <c r="D793" s="1" t="s">
        <v>2904</v>
      </c>
      <c r="E793" s="1" t="s">
        <v>2708</v>
      </c>
      <c r="F793" s="1" t="s">
        <v>524</v>
      </c>
      <c r="G793" s="1">
        <v>37915</v>
      </c>
      <c r="H793" s="1" t="s">
        <v>525</v>
      </c>
    </row>
    <row r="794" spans="1:8" x14ac:dyDescent="0.35">
      <c r="A794" s="1" t="s">
        <v>2905</v>
      </c>
      <c r="B794" s="1" t="s">
        <v>2906</v>
      </c>
      <c r="C794" s="1" t="s">
        <v>521</v>
      </c>
      <c r="D794" s="1" t="s">
        <v>2907</v>
      </c>
      <c r="E794" s="1" t="s">
        <v>2708</v>
      </c>
      <c r="F794" s="1" t="s">
        <v>524</v>
      </c>
      <c r="G794" s="1">
        <v>37921</v>
      </c>
      <c r="H794" s="1" t="s">
        <v>525</v>
      </c>
    </row>
    <row r="795" spans="1:8" x14ac:dyDescent="0.35">
      <c r="A795" s="1" t="s">
        <v>239</v>
      </c>
      <c r="B795" s="1" t="s">
        <v>2908</v>
      </c>
      <c r="C795" s="1" t="s">
        <v>521</v>
      </c>
      <c r="D795" s="1" t="s">
        <v>2909</v>
      </c>
      <c r="E795" s="1" t="s">
        <v>2708</v>
      </c>
      <c r="F795" s="1" t="s">
        <v>524</v>
      </c>
      <c r="G795" s="1">
        <v>37919</v>
      </c>
      <c r="H795" s="1" t="s">
        <v>525</v>
      </c>
    </row>
    <row r="796" spans="1:8" x14ac:dyDescent="0.35">
      <c r="A796" s="1" t="s">
        <v>2910</v>
      </c>
      <c r="B796" s="1" t="s">
        <v>2911</v>
      </c>
      <c r="C796" s="1" t="s">
        <v>521</v>
      </c>
      <c r="D796" s="1" t="s">
        <v>2912</v>
      </c>
      <c r="E796" s="1" t="s">
        <v>2708</v>
      </c>
      <c r="F796" s="1" t="s">
        <v>524</v>
      </c>
      <c r="G796" s="1">
        <v>37919</v>
      </c>
      <c r="H796" s="1" t="s">
        <v>525</v>
      </c>
    </row>
    <row r="797" spans="1:8" x14ac:dyDescent="0.35">
      <c r="A797" s="1" t="s">
        <v>2913</v>
      </c>
      <c r="B797" s="1" t="s">
        <v>2914</v>
      </c>
      <c r="C797" s="1" t="s">
        <v>521</v>
      </c>
      <c r="D797" s="1" t="s">
        <v>2915</v>
      </c>
      <c r="E797" s="1" t="s">
        <v>2708</v>
      </c>
      <c r="F797" s="1" t="s">
        <v>524</v>
      </c>
      <c r="G797" s="1">
        <v>37922</v>
      </c>
      <c r="H797" s="1" t="s">
        <v>525</v>
      </c>
    </row>
    <row r="798" spans="1:8" x14ac:dyDescent="0.35">
      <c r="A798" s="1" t="s">
        <v>2916</v>
      </c>
      <c r="B798" s="1" t="s">
        <v>2917</v>
      </c>
      <c r="C798" s="1" t="s">
        <v>521</v>
      </c>
      <c r="D798" s="1" t="s">
        <v>2918</v>
      </c>
      <c r="E798" s="1" t="s">
        <v>2708</v>
      </c>
      <c r="F798" s="1" t="s">
        <v>524</v>
      </c>
      <c r="G798" s="1">
        <v>37921</v>
      </c>
      <c r="H798" s="1" t="s">
        <v>525</v>
      </c>
    </row>
    <row r="799" spans="1:8" x14ac:dyDescent="0.35">
      <c r="A799" s="1" t="s">
        <v>2919</v>
      </c>
      <c r="B799" s="1" t="s">
        <v>2920</v>
      </c>
      <c r="C799" s="1" t="s">
        <v>521</v>
      </c>
      <c r="D799" s="1" t="s">
        <v>2921</v>
      </c>
      <c r="E799" s="1" t="s">
        <v>2708</v>
      </c>
      <c r="F799" s="1" t="s">
        <v>524</v>
      </c>
      <c r="G799" s="1">
        <v>37917</v>
      </c>
      <c r="H799" s="1" t="s">
        <v>525</v>
      </c>
    </row>
    <row r="800" spans="1:8" x14ac:dyDescent="0.35">
      <c r="A800" s="1" t="s">
        <v>240</v>
      </c>
      <c r="B800" s="1" t="s">
        <v>2922</v>
      </c>
      <c r="C800" s="1" t="s">
        <v>521</v>
      </c>
      <c r="D800" s="1" t="s">
        <v>2923</v>
      </c>
      <c r="E800" s="1" t="s">
        <v>2708</v>
      </c>
      <c r="F800" s="1" t="s">
        <v>524</v>
      </c>
      <c r="G800" s="1">
        <v>37924</v>
      </c>
      <c r="H800" s="1" t="s">
        <v>525</v>
      </c>
    </row>
    <row r="801" spans="1:8" x14ac:dyDescent="0.35">
      <c r="A801" s="1" t="s">
        <v>241</v>
      </c>
      <c r="B801" s="1" t="s">
        <v>2924</v>
      </c>
      <c r="C801" s="1" t="s">
        <v>521</v>
      </c>
      <c r="D801" s="1" t="s">
        <v>2925</v>
      </c>
      <c r="E801" s="1" t="s">
        <v>2708</v>
      </c>
      <c r="F801" s="1" t="s">
        <v>524</v>
      </c>
      <c r="G801" s="1">
        <v>37902</v>
      </c>
      <c r="H801" s="1" t="s">
        <v>525</v>
      </c>
    </row>
    <row r="802" spans="1:8" x14ac:dyDescent="0.35">
      <c r="A802" s="1" t="s">
        <v>2926</v>
      </c>
      <c r="B802" s="1" t="s">
        <v>2927</v>
      </c>
      <c r="C802" s="1" t="s">
        <v>521</v>
      </c>
      <c r="D802" s="1" t="s">
        <v>2928</v>
      </c>
      <c r="E802" s="1" t="s">
        <v>2708</v>
      </c>
      <c r="F802" s="1" t="s">
        <v>524</v>
      </c>
      <c r="G802" s="1">
        <v>37922</v>
      </c>
      <c r="H802" s="1" t="s">
        <v>525</v>
      </c>
    </row>
    <row r="803" spans="1:8" x14ac:dyDescent="0.35">
      <c r="A803" s="1" t="s">
        <v>242</v>
      </c>
      <c r="B803" s="1" t="s">
        <v>2929</v>
      </c>
      <c r="C803" s="1" t="s">
        <v>521</v>
      </c>
      <c r="D803" s="1" t="s">
        <v>2930</v>
      </c>
      <c r="E803" s="1" t="s">
        <v>2708</v>
      </c>
      <c r="F803" s="1" t="s">
        <v>524</v>
      </c>
      <c r="G803" s="1">
        <v>37914</v>
      </c>
      <c r="H803" s="1" t="s">
        <v>525</v>
      </c>
    </row>
    <row r="804" spans="1:8" x14ac:dyDescent="0.35">
      <c r="A804" s="1" t="s">
        <v>2931</v>
      </c>
      <c r="B804" s="1" t="s">
        <v>2932</v>
      </c>
      <c r="C804" s="1" t="s">
        <v>1639</v>
      </c>
      <c r="D804" s="1" t="s">
        <v>2933</v>
      </c>
      <c r="E804" s="1" t="s">
        <v>2708</v>
      </c>
      <c r="F804" s="1" t="s">
        <v>524</v>
      </c>
      <c r="G804" s="1">
        <v>37921</v>
      </c>
      <c r="H804" s="1" t="s">
        <v>1641</v>
      </c>
    </row>
    <row r="805" spans="1:8" x14ac:dyDescent="0.35">
      <c r="A805" s="1" t="s">
        <v>243</v>
      </c>
      <c r="B805" s="1" t="s">
        <v>2934</v>
      </c>
      <c r="C805" s="1" t="s">
        <v>521</v>
      </c>
      <c r="D805" s="1" t="s">
        <v>2935</v>
      </c>
      <c r="E805" s="1" t="s">
        <v>2936</v>
      </c>
      <c r="F805" s="1" t="s">
        <v>524</v>
      </c>
      <c r="G805" s="1">
        <v>38079</v>
      </c>
      <c r="H805" s="1" t="s">
        <v>525</v>
      </c>
    </row>
    <row r="806" spans="1:8" x14ac:dyDescent="0.35">
      <c r="A806" s="1" t="s">
        <v>2937</v>
      </c>
      <c r="B806" s="1" t="s">
        <v>2938</v>
      </c>
      <c r="C806" s="1" t="s">
        <v>521</v>
      </c>
      <c r="D806" s="1" t="s">
        <v>2939</v>
      </c>
      <c r="E806" s="1" t="s">
        <v>2940</v>
      </c>
      <c r="F806" s="1" t="s">
        <v>524</v>
      </c>
      <c r="G806" s="1">
        <v>38080</v>
      </c>
      <c r="H806" s="1" t="s">
        <v>525</v>
      </c>
    </row>
    <row r="807" spans="1:8" x14ac:dyDescent="0.35">
      <c r="A807" s="1" t="s">
        <v>2941</v>
      </c>
      <c r="B807" s="1" t="s">
        <v>2942</v>
      </c>
      <c r="C807" s="1" t="s">
        <v>521</v>
      </c>
      <c r="D807" s="1" t="s">
        <v>2943</v>
      </c>
      <c r="E807" s="1" t="s">
        <v>2936</v>
      </c>
      <c r="F807" s="1" t="s">
        <v>524</v>
      </c>
      <c r="G807" s="1">
        <v>38079</v>
      </c>
      <c r="H807" s="1" t="s">
        <v>525</v>
      </c>
    </row>
    <row r="808" spans="1:8" x14ac:dyDescent="0.35">
      <c r="A808" s="1" t="s">
        <v>2944</v>
      </c>
      <c r="B808" s="1" t="s">
        <v>2945</v>
      </c>
      <c r="C808" s="1" t="s">
        <v>521</v>
      </c>
      <c r="D808" s="1" t="s">
        <v>2946</v>
      </c>
      <c r="E808" s="1" t="s">
        <v>2947</v>
      </c>
      <c r="F808" s="1" t="s">
        <v>524</v>
      </c>
      <c r="G808" s="1">
        <v>38040</v>
      </c>
      <c r="H808" s="1" t="s">
        <v>525</v>
      </c>
    </row>
    <row r="809" spans="1:8" x14ac:dyDescent="0.35">
      <c r="A809" s="1" t="s">
        <v>245</v>
      </c>
      <c r="B809" s="1" t="s">
        <v>2813</v>
      </c>
      <c r="C809" s="1" t="s">
        <v>521</v>
      </c>
      <c r="D809" s="1" t="s">
        <v>2948</v>
      </c>
      <c r="E809" s="1" t="s">
        <v>2947</v>
      </c>
      <c r="F809" s="1" t="s">
        <v>524</v>
      </c>
      <c r="G809" s="1">
        <v>38040</v>
      </c>
      <c r="H809" s="1" t="s">
        <v>525</v>
      </c>
    </row>
    <row r="810" spans="1:8" x14ac:dyDescent="0.35">
      <c r="A810" s="1" t="s">
        <v>2949</v>
      </c>
      <c r="B810" s="1" t="s">
        <v>2950</v>
      </c>
      <c r="C810" s="1" t="s">
        <v>521</v>
      </c>
      <c r="D810" s="1" t="s">
        <v>2948</v>
      </c>
      <c r="E810" s="1" t="s">
        <v>2947</v>
      </c>
      <c r="F810" s="1" t="s">
        <v>524</v>
      </c>
      <c r="G810" s="1">
        <v>38040</v>
      </c>
      <c r="H810" s="1" t="s">
        <v>525</v>
      </c>
    </row>
    <row r="811" spans="1:8" x14ac:dyDescent="0.35">
      <c r="A811" s="1" t="s">
        <v>2951</v>
      </c>
      <c r="B811" s="1" t="s">
        <v>2952</v>
      </c>
      <c r="C811" s="1" t="s">
        <v>521</v>
      </c>
      <c r="D811" s="1" t="s">
        <v>2953</v>
      </c>
      <c r="E811" s="1" t="s">
        <v>2954</v>
      </c>
      <c r="F811" s="1" t="s">
        <v>524</v>
      </c>
      <c r="G811" s="1">
        <v>38063</v>
      </c>
      <c r="H811" s="1" t="s">
        <v>525</v>
      </c>
    </row>
    <row r="812" spans="1:8" x14ac:dyDescent="0.35">
      <c r="A812" s="1" t="s">
        <v>247</v>
      </c>
      <c r="B812" s="1" t="s">
        <v>2955</v>
      </c>
      <c r="C812" s="1" t="s">
        <v>521</v>
      </c>
      <c r="D812" s="1" t="s">
        <v>2956</v>
      </c>
      <c r="E812" s="1" t="s">
        <v>2954</v>
      </c>
      <c r="F812" s="1" t="s">
        <v>524</v>
      </c>
      <c r="G812" s="1">
        <v>38063</v>
      </c>
      <c r="H812" s="1" t="s">
        <v>525</v>
      </c>
    </row>
    <row r="813" spans="1:8" x14ac:dyDescent="0.35">
      <c r="A813" s="1" t="s">
        <v>2957</v>
      </c>
      <c r="B813" s="1" t="s">
        <v>2958</v>
      </c>
      <c r="C813" s="1" t="s">
        <v>521</v>
      </c>
      <c r="D813" s="1" t="s">
        <v>2959</v>
      </c>
      <c r="E813" s="1" t="s">
        <v>2954</v>
      </c>
      <c r="F813" s="1" t="s">
        <v>524</v>
      </c>
      <c r="G813" s="1">
        <v>38063</v>
      </c>
      <c r="H813" s="1" t="s">
        <v>525</v>
      </c>
    </row>
    <row r="814" spans="1:8" x14ac:dyDescent="0.35">
      <c r="A814" s="1" t="s">
        <v>2960</v>
      </c>
      <c r="B814" s="1" t="s">
        <v>2961</v>
      </c>
      <c r="C814" s="1" t="s">
        <v>521</v>
      </c>
      <c r="D814" s="1" t="s">
        <v>2962</v>
      </c>
      <c r="E814" s="1" t="s">
        <v>2954</v>
      </c>
      <c r="F814" s="1" t="s">
        <v>524</v>
      </c>
      <c r="G814" s="1">
        <v>38063</v>
      </c>
      <c r="H814" s="1" t="s">
        <v>525</v>
      </c>
    </row>
    <row r="815" spans="1:8" x14ac:dyDescent="0.35">
      <c r="A815" s="1" t="s">
        <v>2963</v>
      </c>
      <c r="B815" s="1" t="s">
        <v>2964</v>
      </c>
      <c r="C815" s="1" t="s">
        <v>521</v>
      </c>
      <c r="D815" s="1" t="s">
        <v>2965</v>
      </c>
      <c r="E815" s="1" t="s">
        <v>2966</v>
      </c>
      <c r="F815" s="1" t="s">
        <v>524</v>
      </c>
      <c r="G815" s="1">
        <v>38464</v>
      </c>
      <c r="H815" s="1" t="s">
        <v>525</v>
      </c>
    </row>
    <row r="816" spans="1:8" x14ac:dyDescent="0.35">
      <c r="A816" s="1" t="s">
        <v>2967</v>
      </c>
      <c r="B816" s="1" t="s">
        <v>2968</v>
      </c>
      <c r="C816" s="1" t="s">
        <v>521</v>
      </c>
      <c r="D816" s="1" t="s">
        <v>2969</v>
      </c>
      <c r="E816" s="1" t="s">
        <v>2966</v>
      </c>
      <c r="F816" s="1" t="s">
        <v>524</v>
      </c>
      <c r="G816" s="1">
        <v>38464</v>
      </c>
      <c r="H816" s="1" t="s">
        <v>525</v>
      </c>
    </row>
    <row r="817" spans="1:8" x14ac:dyDescent="0.35">
      <c r="A817" s="1" t="s">
        <v>2970</v>
      </c>
      <c r="B817" s="1" t="s">
        <v>2971</v>
      </c>
      <c r="C817" s="1" t="s">
        <v>521</v>
      </c>
      <c r="D817" s="1" t="s">
        <v>2972</v>
      </c>
      <c r="E817" s="1" t="s">
        <v>2973</v>
      </c>
      <c r="F817" s="1" t="s">
        <v>524</v>
      </c>
      <c r="G817" s="1">
        <v>38456</v>
      </c>
      <c r="H817" s="1" t="s">
        <v>525</v>
      </c>
    </row>
    <row r="818" spans="1:8" x14ac:dyDescent="0.35">
      <c r="A818" s="1" t="s">
        <v>2974</v>
      </c>
      <c r="B818" s="1" t="s">
        <v>2975</v>
      </c>
      <c r="C818" s="1" t="s">
        <v>521</v>
      </c>
      <c r="D818" s="1" t="s">
        <v>2976</v>
      </c>
      <c r="E818" s="1" t="s">
        <v>2966</v>
      </c>
      <c r="F818" s="1" t="s">
        <v>524</v>
      </c>
      <c r="G818" s="1">
        <v>38464</v>
      </c>
      <c r="H818" s="1" t="s">
        <v>525</v>
      </c>
    </row>
    <row r="819" spans="1:8" x14ac:dyDescent="0.35">
      <c r="A819" s="1" t="s">
        <v>248</v>
      </c>
      <c r="B819" s="1" t="s">
        <v>2977</v>
      </c>
      <c r="C819" s="1" t="s">
        <v>521</v>
      </c>
      <c r="D819" s="1" t="s">
        <v>2978</v>
      </c>
      <c r="E819" s="1" t="s">
        <v>2966</v>
      </c>
      <c r="F819" s="1" t="s">
        <v>524</v>
      </c>
      <c r="G819" s="1">
        <v>38464</v>
      </c>
      <c r="H819" s="1" t="s">
        <v>525</v>
      </c>
    </row>
    <row r="820" spans="1:8" x14ac:dyDescent="0.35">
      <c r="A820" s="1" t="s">
        <v>2979</v>
      </c>
      <c r="B820" s="1" t="s">
        <v>2980</v>
      </c>
      <c r="C820" s="1" t="s">
        <v>521</v>
      </c>
      <c r="D820" s="1" t="s">
        <v>2981</v>
      </c>
      <c r="E820" s="1" t="s">
        <v>2966</v>
      </c>
      <c r="F820" s="1" t="s">
        <v>524</v>
      </c>
      <c r="G820" s="1">
        <v>38464</v>
      </c>
      <c r="H820" s="1" t="s">
        <v>525</v>
      </c>
    </row>
    <row r="821" spans="1:8" x14ac:dyDescent="0.35">
      <c r="A821" s="1" t="s">
        <v>2982</v>
      </c>
      <c r="B821" s="1" t="s">
        <v>2983</v>
      </c>
      <c r="C821" s="1" t="s">
        <v>521</v>
      </c>
      <c r="D821" s="1" t="s">
        <v>2984</v>
      </c>
      <c r="E821" s="1" t="s">
        <v>2985</v>
      </c>
      <c r="F821" s="1" t="s">
        <v>524</v>
      </c>
      <c r="G821" s="1">
        <v>38468</v>
      </c>
      <c r="H821" s="1" t="s">
        <v>525</v>
      </c>
    </row>
    <row r="822" spans="1:8" x14ac:dyDescent="0.35">
      <c r="A822" s="1" t="s">
        <v>2986</v>
      </c>
      <c r="B822" s="1" t="s">
        <v>2987</v>
      </c>
      <c r="C822" s="1" t="s">
        <v>521</v>
      </c>
      <c r="D822" s="1" t="s">
        <v>2988</v>
      </c>
      <c r="E822" s="1" t="s">
        <v>2989</v>
      </c>
      <c r="F822" s="1" t="s">
        <v>524</v>
      </c>
      <c r="G822" s="1">
        <v>38469</v>
      </c>
      <c r="H822" s="1" t="s">
        <v>525</v>
      </c>
    </row>
    <row r="823" spans="1:8" x14ac:dyDescent="0.35">
      <c r="A823" s="1" t="s">
        <v>250</v>
      </c>
      <c r="B823" s="1" t="s">
        <v>2990</v>
      </c>
      <c r="C823" s="1" t="s">
        <v>521</v>
      </c>
      <c r="D823" s="1" t="s">
        <v>2991</v>
      </c>
      <c r="E823" s="1" t="s">
        <v>2989</v>
      </c>
      <c r="F823" s="1" t="s">
        <v>524</v>
      </c>
      <c r="G823" s="1">
        <v>38469</v>
      </c>
      <c r="H823" s="1" t="s">
        <v>525</v>
      </c>
    </row>
    <row r="824" spans="1:8" x14ac:dyDescent="0.35">
      <c r="A824" s="1" t="s">
        <v>2992</v>
      </c>
      <c r="B824" s="1" t="s">
        <v>2993</v>
      </c>
      <c r="C824" s="1" t="s">
        <v>521</v>
      </c>
      <c r="D824" s="1" t="s">
        <v>2994</v>
      </c>
      <c r="E824" s="1" t="s">
        <v>2966</v>
      </c>
      <c r="F824" s="1" t="s">
        <v>524</v>
      </c>
      <c r="G824" s="1">
        <v>38464</v>
      </c>
      <c r="H824" s="1" t="s">
        <v>525</v>
      </c>
    </row>
    <row r="825" spans="1:8" x14ac:dyDescent="0.35">
      <c r="A825" s="1" t="s">
        <v>2995</v>
      </c>
      <c r="B825" s="1" t="s">
        <v>2996</v>
      </c>
      <c r="C825" s="1" t="s">
        <v>521</v>
      </c>
      <c r="D825" s="1" t="s">
        <v>2997</v>
      </c>
      <c r="E825" s="1" t="s">
        <v>2998</v>
      </c>
      <c r="F825" s="1" t="s">
        <v>524</v>
      </c>
      <c r="G825" s="1">
        <v>38483</v>
      </c>
      <c r="H825" s="1" t="s">
        <v>525</v>
      </c>
    </row>
    <row r="826" spans="1:8" x14ac:dyDescent="0.35">
      <c r="A826" s="1" t="s">
        <v>251</v>
      </c>
      <c r="B826" s="1" t="s">
        <v>2999</v>
      </c>
      <c r="C826" s="1" t="s">
        <v>521</v>
      </c>
      <c r="D826" s="1" t="s">
        <v>3000</v>
      </c>
      <c r="E826" s="1" t="s">
        <v>2998</v>
      </c>
      <c r="F826" s="1" t="s">
        <v>524</v>
      </c>
      <c r="G826" s="1">
        <v>38483</v>
      </c>
      <c r="H826" s="1" t="s">
        <v>525</v>
      </c>
    </row>
    <row r="827" spans="1:8" x14ac:dyDescent="0.35">
      <c r="A827" s="1" t="s">
        <v>3001</v>
      </c>
      <c r="B827" s="1" t="s">
        <v>3002</v>
      </c>
      <c r="C827" s="1" t="s">
        <v>521</v>
      </c>
      <c r="D827" s="1" t="s">
        <v>3003</v>
      </c>
      <c r="E827" s="1" t="s">
        <v>3004</v>
      </c>
      <c r="F827" s="1" t="s">
        <v>524</v>
      </c>
      <c r="G827" s="1">
        <v>38462</v>
      </c>
      <c r="H827" s="1" t="s">
        <v>525</v>
      </c>
    </row>
    <row r="828" spans="1:8" x14ac:dyDescent="0.35">
      <c r="A828" s="1" t="s">
        <v>3005</v>
      </c>
      <c r="B828" s="1" t="s">
        <v>3006</v>
      </c>
      <c r="C828" s="1" t="s">
        <v>521</v>
      </c>
      <c r="D828" s="1" t="s">
        <v>3007</v>
      </c>
      <c r="E828" s="1" t="s">
        <v>3004</v>
      </c>
      <c r="F828" s="1" t="s">
        <v>524</v>
      </c>
      <c r="G828" s="1">
        <v>38462</v>
      </c>
      <c r="H828" s="1" t="s">
        <v>525</v>
      </c>
    </row>
    <row r="829" spans="1:8" x14ac:dyDescent="0.35">
      <c r="A829" s="1" t="s">
        <v>252</v>
      </c>
      <c r="B829" s="1" t="s">
        <v>3008</v>
      </c>
      <c r="C829" s="1" t="s">
        <v>521</v>
      </c>
      <c r="D829" s="1" t="s">
        <v>3009</v>
      </c>
      <c r="E829" s="1" t="s">
        <v>3004</v>
      </c>
      <c r="F829" s="1" t="s">
        <v>524</v>
      </c>
      <c r="G829" s="1">
        <v>38462</v>
      </c>
      <c r="H829" s="1" t="s">
        <v>525</v>
      </c>
    </row>
    <row r="830" spans="1:8" x14ac:dyDescent="0.35">
      <c r="A830" s="1" t="s">
        <v>3010</v>
      </c>
      <c r="B830" s="1" t="s">
        <v>3011</v>
      </c>
      <c r="C830" s="1" t="s">
        <v>521</v>
      </c>
      <c r="D830" s="1" t="s">
        <v>3012</v>
      </c>
      <c r="E830" s="1" t="s">
        <v>3004</v>
      </c>
      <c r="F830" s="1" t="s">
        <v>524</v>
      </c>
      <c r="G830" s="1">
        <v>38462</v>
      </c>
      <c r="H830" s="1" t="s">
        <v>525</v>
      </c>
    </row>
    <row r="831" spans="1:8" x14ac:dyDescent="0.35">
      <c r="A831" s="1" t="s">
        <v>3013</v>
      </c>
      <c r="B831" s="1" t="s">
        <v>3014</v>
      </c>
      <c r="C831" s="1" t="s">
        <v>521</v>
      </c>
      <c r="D831" s="1" t="s">
        <v>3015</v>
      </c>
      <c r="E831" s="1" t="s">
        <v>3016</v>
      </c>
      <c r="F831" s="1" t="s">
        <v>524</v>
      </c>
      <c r="G831" s="1">
        <v>38488</v>
      </c>
      <c r="H831" s="1" t="s">
        <v>525</v>
      </c>
    </row>
    <row r="832" spans="1:8" x14ac:dyDescent="0.35">
      <c r="A832" s="1" t="s">
        <v>3017</v>
      </c>
      <c r="B832" s="1" t="s">
        <v>3018</v>
      </c>
      <c r="C832" s="1" t="s">
        <v>521</v>
      </c>
      <c r="D832" s="1" t="s">
        <v>3019</v>
      </c>
      <c r="E832" s="1" t="s">
        <v>257</v>
      </c>
      <c r="F832" s="1" t="s">
        <v>524</v>
      </c>
      <c r="G832" s="1">
        <v>37334</v>
      </c>
      <c r="H832" s="1" t="s">
        <v>525</v>
      </c>
    </row>
    <row r="833" spans="1:8" x14ac:dyDescent="0.35">
      <c r="A833" s="1" t="s">
        <v>3020</v>
      </c>
      <c r="B833" s="1" t="s">
        <v>3021</v>
      </c>
      <c r="C833" s="1" t="s">
        <v>521</v>
      </c>
      <c r="D833" s="1" t="s">
        <v>3022</v>
      </c>
      <c r="E833" s="1" t="s">
        <v>3023</v>
      </c>
      <c r="F833" s="1" t="s">
        <v>524</v>
      </c>
      <c r="G833" s="1">
        <v>37335</v>
      </c>
      <c r="H833" s="1" t="s">
        <v>525</v>
      </c>
    </row>
    <row r="834" spans="1:8" x14ac:dyDescent="0.35">
      <c r="A834" s="1" t="s">
        <v>3024</v>
      </c>
      <c r="B834" s="1" t="s">
        <v>3025</v>
      </c>
      <c r="C834" s="1" t="s">
        <v>521</v>
      </c>
      <c r="D834" s="1" t="s">
        <v>3026</v>
      </c>
      <c r="E834" s="1" t="s">
        <v>257</v>
      </c>
      <c r="F834" s="1" t="s">
        <v>524</v>
      </c>
      <c r="G834" s="1">
        <v>37334</v>
      </c>
      <c r="H834" s="1" t="s">
        <v>525</v>
      </c>
    </row>
    <row r="835" spans="1:8" x14ac:dyDescent="0.35">
      <c r="A835" s="1" t="s">
        <v>254</v>
      </c>
      <c r="B835" s="1" t="s">
        <v>3027</v>
      </c>
      <c r="C835" s="1" t="s">
        <v>521</v>
      </c>
      <c r="D835" s="1" t="s">
        <v>3028</v>
      </c>
      <c r="E835" s="1" t="s">
        <v>257</v>
      </c>
      <c r="F835" s="1" t="s">
        <v>524</v>
      </c>
      <c r="G835" s="1">
        <v>37334</v>
      </c>
      <c r="H835" s="1" t="s">
        <v>525</v>
      </c>
    </row>
    <row r="836" spans="1:8" x14ac:dyDescent="0.35">
      <c r="A836" s="1" t="s">
        <v>3029</v>
      </c>
      <c r="B836" s="1" t="s">
        <v>3030</v>
      </c>
      <c r="C836" s="1" t="s">
        <v>521</v>
      </c>
      <c r="D836" s="1" t="s">
        <v>3031</v>
      </c>
      <c r="E836" s="1" t="s">
        <v>257</v>
      </c>
      <c r="F836" s="1" t="s">
        <v>524</v>
      </c>
      <c r="G836" s="1">
        <v>37334</v>
      </c>
      <c r="H836" s="1" t="s">
        <v>525</v>
      </c>
    </row>
    <row r="837" spans="1:8" x14ac:dyDescent="0.35">
      <c r="A837" s="1" t="s">
        <v>3032</v>
      </c>
      <c r="B837" s="1" t="s">
        <v>3033</v>
      </c>
      <c r="C837" s="1" t="s">
        <v>521</v>
      </c>
      <c r="D837" s="1" t="s">
        <v>3034</v>
      </c>
      <c r="E837" s="1" t="s">
        <v>3035</v>
      </c>
      <c r="F837" s="1" t="s">
        <v>524</v>
      </c>
      <c r="G837" s="1">
        <v>37144</v>
      </c>
      <c r="H837" s="1" t="s">
        <v>525</v>
      </c>
    </row>
    <row r="838" spans="1:8" x14ac:dyDescent="0.35">
      <c r="A838" s="1" t="s">
        <v>3036</v>
      </c>
      <c r="B838" s="1" t="s">
        <v>3037</v>
      </c>
      <c r="C838" s="1" t="s">
        <v>521</v>
      </c>
      <c r="D838" s="1" t="s">
        <v>3038</v>
      </c>
      <c r="E838" s="1" t="s">
        <v>257</v>
      </c>
      <c r="F838" s="1" t="s">
        <v>524</v>
      </c>
      <c r="G838" s="1">
        <v>37334</v>
      </c>
      <c r="H838" s="1" t="s">
        <v>525</v>
      </c>
    </row>
    <row r="839" spans="1:8" x14ac:dyDescent="0.35">
      <c r="A839" s="1" t="s">
        <v>256</v>
      </c>
      <c r="B839" s="1" t="s">
        <v>3039</v>
      </c>
      <c r="C839" s="1" t="s">
        <v>521</v>
      </c>
      <c r="D839" s="1" t="s">
        <v>3040</v>
      </c>
      <c r="E839" s="1" t="s">
        <v>257</v>
      </c>
      <c r="F839" s="1" t="s">
        <v>524</v>
      </c>
      <c r="G839" s="1">
        <v>37334</v>
      </c>
      <c r="H839" s="1" t="s">
        <v>525</v>
      </c>
    </row>
    <row r="840" spans="1:8" x14ac:dyDescent="0.35">
      <c r="A840" s="1" t="s">
        <v>3041</v>
      </c>
      <c r="B840" s="1" t="s">
        <v>3042</v>
      </c>
      <c r="C840" s="1" t="s">
        <v>521</v>
      </c>
      <c r="D840" s="1" t="s">
        <v>3043</v>
      </c>
      <c r="E840" s="1" t="s">
        <v>257</v>
      </c>
      <c r="F840" s="1" t="s">
        <v>524</v>
      </c>
      <c r="G840" s="1">
        <v>37334</v>
      </c>
      <c r="H840" s="1" t="s">
        <v>525</v>
      </c>
    </row>
    <row r="841" spans="1:8" x14ac:dyDescent="0.35">
      <c r="A841" s="1" t="s">
        <v>3044</v>
      </c>
      <c r="B841" s="1" t="s">
        <v>3045</v>
      </c>
      <c r="C841" s="1" t="s">
        <v>521</v>
      </c>
      <c r="D841" s="1" t="s">
        <v>3046</v>
      </c>
      <c r="E841" s="1" t="s">
        <v>262</v>
      </c>
      <c r="F841" s="1" t="s">
        <v>524</v>
      </c>
      <c r="G841" s="1">
        <v>37771</v>
      </c>
      <c r="H841" s="1" t="s">
        <v>525</v>
      </c>
    </row>
    <row r="842" spans="1:8" x14ac:dyDescent="0.35">
      <c r="A842" s="1" t="s">
        <v>3047</v>
      </c>
      <c r="B842" s="1" t="s">
        <v>3048</v>
      </c>
      <c r="C842" s="1" t="s">
        <v>521</v>
      </c>
      <c r="D842" s="1" t="s">
        <v>3049</v>
      </c>
      <c r="E842" s="1" t="s">
        <v>3050</v>
      </c>
      <c r="F842" s="1" t="s">
        <v>524</v>
      </c>
      <c r="G842" s="1">
        <v>37774</v>
      </c>
      <c r="H842" s="1" t="s">
        <v>525</v>
      </c>
    </row>
    <row r="843" spans="1:8" x14ac:dyDescent="0.35">
      <c r="A843" s="1" t="s">
        <v>258</v>
      </c>
      <c r="B843" s="1" t="s">
        <v>3051</v>
      </c>
      <c r="C843" s="1" t="s">
        <v>521</v>
      </c>
      <c r="D843" s="1" t="s">
        <v>3052</v>
      </c>
      <c r="E843" s="1" t="s">
        <v>3053</v>
      </c>
      <c r="F843" s="1" t="s">
        <v>524</v>
      </c>
      <c r="G843" s="1">
        <v>37742</v>
      </c>
      <c r="H843" s="1" t="s">
        <v>525</v>
      </c>
    </row>
    <row r="844" spans="1:8" x14ac:dyDescent="0.35">
      <c r="A844" s="1" t="s">
        <v>3054</v>
      </c>
      <c r="B844" s="1" t="s">
        <v>3055</v>
      </c>
      <c r="C844" s="1" t="s">
        <v>521</v>
      </c>
      <c r="D844" s="1" t="s">
        <v>3056</v>
      </c>
      <c r="E844" s="1" t="s">
        <v>262</v>
      </c>
      <c r="F844" s="1" t="s">
        <v>524</v>
      </c>
      <c r="G844" s="1">
        <v>37772</v>
      </c>
      <c r="H844" s="1" t="s">
        <v>525</v>
      </c>
    </row>
    <row r="845" spans="1:8" x14ac:dyDescent="0.35">
      <c r="A845" s="1" t="s">
        <v>3057</v>
      </c>
      <c r="B845" s="1" t="s">
        <v>3058</v>
      </c>
      <c r="C845" s="1" t="s">
        <v>521</v>
      </c>
      <c r="D845" s="1" t="s">
        <v>3059</v>
      </c>
      <c r="E845" s="1" t="s">
        <v>3050</v>
      </c>
      <c r="F845" s="1" t="s">
        <v>524</v>
      </c>
      <c r="G845" s="1">
        <v>37774</v>
      </c>
      <c r="H845" s="1" t="s">
        <v>525</v>
      </c>
    </row>
    <row r="846" spans="1:8" x14ac:dyDescent="0.35">
      <c r="A846" s="1" t="s">
        <v>260</v>
      </c>
      <c r="B846" s="1" t="s">
        <v>3060</v>
      </c>
      <c r="C846" s="1" t="s">
        <v>521</v>
      </c>
      <c r="D846" s="1" t="s">
        <v>3061</v>
      </c>
      <c r="E846" s="1" t="s">
        <v>3050</v>
      </c>
      <c r="F846" s="1" t="s">
        <v>524</v>
      </c>
      <c r="G846" s="1">
        <v>37774</v>
      </c>
      <c r="H846" s="1" t="s">
        <v>525</v>
      </c>
    </row>
    <row r="847" spans="1:8" x14ac:dyDescent="0.35">
      <c r="A847" s="1" t="s">
        <v>3062</v>
      </c>
      <c r="B847" s="1" t="s">
        <v>1897</v>
      </c>
      <c r="C847" s="1" t="s">
        <v>521</v>
      </c>
      <c r="D847" s="1" t="s">
        <v>3063</v>
      </c>
      <c r="E847" s="1" t="s">
        <v>262</v>
      </c>
      <c r="F847" s="1" t="s">
        <v>524</v>
      </c>
      <c r="G847" s="1">
        <v>37771</v>
      </c>
      <c r="H847" s="1" t="s">
        <v>525</v>
      </c>
    </row>
    <row r="848" spans="1:8" x14ac:dyDescent="0.35">
      <c r="A848" s="1" t="s">
        <v>3064</v>
      </c>
      <c r="B848" s="1" t="s">
        <v>3065</v>
      </c>
      <c r="C848" s="1" t="s">
        <v>521</v>
      </c>
      <c r="D848" s="1" t="s">
        <v>3066</v>
      </c>
      <c r="E848" s="1" t="s">
        <v>3067</v>
      </c>
      <c r="F848" s="1" t="s">
        <v>524</v>
      </c>
      <c r="G848" s="1">
        <v>37846</v>
      </c>
      <c r="H848" s="1" t="s">
        <v>525</v>
      </c>
    </row>
    <row r="849" spans="1:8" x14ac:dyDescent="0.35">
      <c r="A849" s="1" t="s">
        <v>3068</v>
      </c>
      <c r="B849" s="1" t="s">
        <v>3069</v>
      </c>
      <c r="C849" s="1" t="s">
        <v>521</v>
      </c>
      <c r="D849" s="1" t="s">
        <v>3070</v>
      </c>
      <c r="E849" s="1" t="s">
        <v>3050</v>
      </c>
      <c r="F849" s="1" t="s">
        <v>524</v>
      </c>
      <c r="G849" s="1">
        <v>37774</v>
      </c>
      <c r="H849" s="1" t="s">
        <v>525</v>
      </c>
    </row>
    <row r="850" spans="1:8" x14ac:dyDescent="0.35">
      <c r="A850" s="1" t="s">
        <v>261</v>
      </c>
      <c r="B850" s="1" t="s">
        <v>3071</v>
      </c>
      <c r="C850" s="1" t="s">
        <v>521</v>
      </c>
      <c r="D850" s="1" t="s">
        <v>3072</v>
      </c>
      <c r="E850" s="1" t="s">
        <v>262</v>
      </c>
      <c r="F850" s="1" t="s">
        <v>524</v>
      </c>
      <c r="G850" s="1">
        <v>37771</v>
      </c>
      <c r="H850" s="1" t="s">
        <v>525</v>
      </c>
    </row>
    <row r="851" spans="1:8" x14ac:dyDescent="0.35">
      <c r="A851" s="1" t="s">
        <v>3073</v>
      </c>
      <c r="B851" s="1" t="s">
        <v>3074</v>
      </c>
      <c r="C851" s="1" t="s">
        <v>521</v>
      </c>
      <c r="D851" s="1" t="s">
        <v>3075</v>
      </c>
      <c r="E851" s="1" t="s">
        <v>262</v>
      </c>
      <c r="F851" s="1" t="s">
        <v>524</v>
      </c>
      <c r="G851" s="1">
        <v>37771</v>
      </c>
      <c r="H851" s="1" t="s">
        <v>525</v>
      </c>
    </row>
    <row r="852" spans="1:8" x14ac:dyDescent="0.35">
      <c r="A852" s="1" t="s">
        <v>3076</v>
      </c>
      <c r="B852" s="1" t="s">
        <v>3077</v>
      </c>
      <c r="C852" s="1" t="s">
        <v>521</v>
      </c>
      <c r="D852" s="1" t="s">
        <v>3078</v>
      </c>
      <c r="E852" s="1" t="s">
        <v>262</v>
      </c>
      <c r="F852" s="1" t="s">
        <v>524</v>
      </c>
      <c r="G852" s="1">
        <v>37771</v>
      </c>
      <c r="H852" s="1" t="s">
        <v>525</v>
      </c>
    </row>
    <row r="853" spans="1:8" x14ac:dyDescent="0.35">
      <c r="A853" s="1" t="s">
        <v>3079</v>
      </c>
      <c r="B853" s="1" t="s">
        <v>3080</v>
      </c>
      <c r="C853" s="1" t="s">
        <v>521</v>
      </c>
      <c r="D853" s="1" t="s">
        <v>3081</v>
      </c>
      <c r="E853" s="1" t="s">
        <v>3082</v>
      </c>
      <c r="F853" s="1" t="s">
        <v>524</v>
      </c>
      <c r="G853" s="1">
        <v>37309</v>
      </c>
      <c r="H853" s="1" t="s">
        <v>525</v>
      </c>
    </row>
    <row r="854" spans="1:8" x14ac:dyDescent="0.35">
      <c r="A854" s="1" t="s">
        <v>263</v>
      </c>
      <c r="B854" s="1" t="s">
        <v>915</v>
      </c>
      <c r="C854" s="1" t="s">
        <v>521</v>
      </c>
      <c r="D854" s="1" t="s">
        <v>3083</v>
      </c>
      <c r="E854" s="1" t="s">
        <v>3084</v>
      </c>
      <c r="F854" s="1" t="s">
        <v>524</v>
      </c>
      <c r="G854" s="1">
        <v>37329</v>
      </c>
      <c r="H854" s="1" t="s">
        <v>525</v>
      </c>
    </row>
    <row r="855" spans="1:8" x14ac:dyDescent="0.35">
      <c r="A855" s="1" t="s">
        <v>3085</v>
      </c>
      <c r="B855" s="1" t="s">
        <v>3086</v>
      </c>
      <c r="C855" s="1" t="s">
        <v>521</v>
      </c>
      <c r="D855" s="1" t="s">
        <v>3087</v>
      </c>
      <c r="E855" s="1" t="s">
        <v>3088</v>
      </c>
      <c r="F855" s="1" t="s">
        <v>524</v>
      </c>
      <c r="G855" s="1">
        <v>37303</v>
      </c>
      <c r="H855" s="1" t="s">
        <v>525</v>
      </c>
    </row>
    <row r="856" spans="1:8" x14ac:dyDescent="0.35">
      <c r="A856" s="1" t="s">
        <v>3089</v>
      </c>
      <c r="B856" s="1" t="s">
        <v>3090</v>
      </c>
      <c r="C856" s="1" t="s">
        <v>521</v>
      </c>
      <c r="D856" s="1" t="s">
        <v>3091</v>
      </c>
      <c r="E856" s="1" t="s">
        <v>3084</v>
      </c>
      <c r="F856" s="1" t="s">
        <v>524</v>
      </c>
      <c r="G856" s="1">
        <v>37329</v>
      </c>
      <c r="H856" s="1" t="s">
        <v>525</v>
      </c>
    </row>
    <row r="857" spans="1:8" x14ac:dyDescent="0.35">
      <c r="A857" s="1" t="s">
        <v>265</v>
      </c>
      <c r="B857" s="1" t="s">
        <v>3092</v>
      </c>
      <c r="C857" s="1" t="s">
        <v>521</v>
      </c>
      <c r="D857" s="1" t="s">
        <v>3093</v>
      </c>
      <c r="E857" s="1" t="s">
        <v>3088</v>
      </c>
      <c r="F857" s="1" t="s">
        <v>524</v>
      </c>
      <c r="G857" s="1">
        <v>37303</v>
      </c>
      <c r="H857" s="1" t="s">
        <v>525</v>
      </c>
    </row>
    <row r="858" spans="1:8" x14ac:dyDescent="0.35">
      <c r="A858" s="1" t="s">
        <v>3094</v>
      </c>
      <c r="B858" s="1" t="s">
        <v>3095</v>
      </c>
      <c r="C858" s="1" t="s">
        <v>521</v>
      </c>
      <c r="D858" s="1" t="s">
        <v>3096</v>
      </c>
      <c r="E858" s="1" t="s">
        <v>3097</v>
      </c>
      <c r="F858" s="1" t="s">
        <v>524</v>
      </c>
      <c r="G858" s="1">
        <v>37331</v>
      </c>
      <c r="H858" s="1" t="s">
        <v>525</v>
      </c>
    </row>
    <row r="859" spans="1:8" x14ac:dyDescent="0.35">
      <c r="A859" s="1" t="s">
        <v>3098</v>
      </c>
      <c r="B859" s="1" t="s">
        <v>3099</v>
      </c>
      <c r="C859" s="1" t="s">
        <v>521</v>
      </c>
      <c r="D859" s="1" t="s">
        <v>3100</v>
      </c>
      <c r="E859" s="1" t="s">
        <v>3101</v>
      </c>
      <c r="F859" s="1" t="s">
        <v>524</v>
      </c>
      <c r="G859" s="1">
        <v>37826</v>
      </c>
      <c r="H859" s="1" t="s">
        <v>525</v>
      </c>
    </row>
    <row r="860" spans="1:8" x14ac:dyDescent="0.35">
      <c r="A860" s="1" t="s">
        <v>3102</v>
      </c>
      <c r="B860" s="1" t="s">
        <v>3103</v>
      </c>
      <c r="C860" s="1" t="s">
        <v>521</v>
      </c>
      <c r="D860" s="1" t="s">
        <v>3104</v>
      </c>
      <c r="E860" s="1" t="s">
        <v>3105</v>
      </c>
      <c r="F860" s="1" t="s">
        <v>524</v>
      </c>
      <c r="G860" s="1">
        <v>37370</v>
      </c>
      <c r="H860" s="1" t="s">
        <v>525</v>
      </c>
    </row>
    <row r="861" spans="1:8" x14ac:dyDescent="0.35">
      <c r="A861" s="1" t="s">
        <v>3106</v>
      </c>
      <c r="B861" s="1" t="s">
        <v>3107</v>
      </c>
      <c r="C861" s="1" t="s">
        <v>521</v>
      </c>
      <c r="D861" s="1" t="s">
        <v>3108</v>
      </c>
      <c r="E861" s="1" t="s">
        <v>3088</v>
      </c>
      <c r="F861" s="1" t="s">
        <v>524</v>
      </c>
      <c r="G861" s="1">
        <v>37303</v>
      </c>
      <c r="H861" s="1" t="s">
        <v>525</v>
      </c>
    </row>
    <row r="862" spans="1:8" x14ac:dyDescent="0.35">
      <c r="A862" s="1" t="s">
        <v>3109</v>
      </c>
      <c r="B862" s="1" t="s">
        <v>3110</v>
      </c>
      <c r="C862" s="1" t="s">
        <v>521</v>
      </c>
      <c r="D862" s="1" t="s">
        <v>3111</v>
      </c>
      <c r="E862" s="1" t="s">
        <v>3088</v>
      </c>
      <c r="F862" s="1" t="s">
        <v>524</v>
      </c>
      <c r="G862" s="1">
        <v>37303</v>
      </c>
      <c r="H862" s="1" t="s">
        <v>525</v>
      </c>
    </row>
    <row r="863" spans="1:8" x14ac:dyDescent="0.35">
      <c r="A863" s="1" t="s">
        <v>3112</v>
      </c>
      <c r="B863" s="1" t="s">
        <v>3113</v>
      </c>
      <c r="C863" s="1" t="s">
        <v>521</v>
      </c>
      <c r="D863" s="1" t="s">
        <v>3114</v>
      </c>
      <c r="E863" s="1" t="s">
        <v>3088</v>
      </c>
      <c r="F863" s="1" t="s">
        <v>524</v>
      </c>
      <c r="G863" s="1">
        <v>37303</v>
      </c>
      <c r="H863" s="1" t="s">
        <v>525</v>
      </c>
    </row>
    <row r="864" spans="1:8" x14ac:dyDescent="0.35">
      <c r="A864" s="1" t="s">
        <v>3115</v>
      </c>
      <c r="B864" s="1" t="s">
        <v>3116</v>
      </c>
      <c r="C864" s="1" t="s">
        <v>521</v>
      </c>
      <c r="D864" s="1" t="s">
        <v>3117</v>
      </c>
      <c r="E864" s="1" t="s">
        <v>3088</v>
      </c>
      <c r="F864" s="1" t="s">
        <v>524</v>
      </c>
      <c r="G864" s="1">
        <v>37303</v>
      </c>
      <c r="H864" s="1" t="s">
        <v>525</v>
      </c>
    </row>
    <row r="865" spans="1:8" x14ac:dyDescent="0.35">
      <c r="A865" s="1" t="s">
        <v>3118</v>
      </c>
      <c r="B865" s="1" t="s">
        <v>3119</v>
      </c>
      <c r="C865" s="1" t="s">
        <v>521</v>
      </c>
      <c r="D865" s="1" t="s">
        <v>3120</v>
      </c>
      <c r="E865" s="1" t="s">
        <v>3088</v>
      </c>
      <c r="F865" s="1" t="s">
        <v>524</v>
      </c>
      <c r="G865" s="1">
        <v>37303</v>
      </c>
      <c r="H865" s="1" t="s">
        <v>525</v>
      </c>
    </row>
    <row r="866" spans="1:8" x14ac:dyDescent="0.35">
      <c r="A866" s="1" t="s">
        <v>3121</v>
      </c>
      <c r="B866" s="1" t="s">
        <v>3122</v>
      </c>
      <c r="C866" s="1" t="s">
        <v>521</v>
      </c>
      <c r="D866" s="1" t="s">
        <v>3123</v>
      </c>
      <c r="E866" s="1" t="s">
        <v>3088</v>
      </c>
      <c r="F866" s="1" t="s">
        <v>524</v>
      </c>
      <c r="G866" s="1">
        <v>37303</v>
      </c>
      <c r="H866" s="1" t="s">
        <v>525</v>
      </c>
    </row>
    <row r="867" spans="1:8" x14ac:dyDescent="0.35">
      <c r="A867" s="1" t="s">
        <v>3124</v>
      </c>
      <c r="B867" s="1" t="s">
        <v>3125</v>
      </c>
      <c r="C867" s="1" t="s">
        <v>521</v>
      </c>
      <c r="D867" s="1" t="s">
        <v>3126</v>
      </c>
      <c r="E867" s="1" t="s">
        <v>3097</v>
      </c>
      <c r="F867" s="1" t="s">
        <v>524</v>
      </c>
      <c r="G867" s="1">
        <v>37331</v>
      </c>
      <c r="H867" s="1" t="s">
        <v>525</v>
      </c>
    </row>
    <row r="868" spans="1:8" x14ac:dyDescent="0.35">
      <c r="A868" s="1" t="s">
        <v>3127</v>
      </c>
      <c r="B868" s="1" t="s">
        <v>3128</v>
      </c>
      <c r="C868" s="1" t="s">
        <v>521</v>
      </c>
      <c r="D868" s="1" t="s">
        <v>3129</v>
      </c>
      <c r="E868" s="1" t="s">
        <v>2438</v>
      </c>
      <c r="F868" s="1" t="s">
        <v>524</v>
      </c>
      <c r="G868" s="1">
        <v>38310</v>
      </c>
      <c r="H868" s="1" t="s">
        <v>525</v>
      </c>
    </row>
    <row r="869" spans="1:8" x14ac:dyDescent="0.35">
      <c r="A869" s="1" t="s">
        <v>266</v>
      </c>
      <c r="B869" s="1" t="s">
        <v>3130</v>
      </c>
      <c r="C869" s="1" t="s">
        <v>521</v>
      </c>
      <c r="D869" s="1" t="s">
        <v>3131</v>
      </c>
      <c r="E869" s="1" t="s">
        <v>2438</v>
      </c>
      <c r="F869" s="1" t="s">
        <v>524</v>
      </c>
      <c r="G869" s="1">
        <v>38310</v>
      </c>
      <c r="H869" s="1" t="s">
        <v>525</v>
      </c>
    </row>
    <row r="870" spans="1:8" x14ac:dyDescent="0.35">
      <c r="A870" s="1" t="s">
        <v>3132</v>
      </c>
      <c r="B870" s="1" t="s">
        <v>3133</v>
      </c>
      <c r="C870" s="1" t="s">
        <v>521</v>
      </c>
      <c r="D870" s="1" t="s">
        <v>3134</v>
      </c>
      <c r="E870" s="1" t="s">
        <v>3135</v>
      </c>
      <c r="F870" s="1" t="s">
        <v>524</v>
      </c>
      <c r="G870" s="1">
        <v>38315</v>
      </c>
      <c r="H870" s="1" t="s">
        <v>525</v>
      </c>
    </row>
    <row r="871" spans="1:8" x14ac:dyDescent="0.35">
      <c r="A871" s="1" t="s">
        <v>268</v>
      </c>
      <c r="B871" s="1" t="s">
        <v>3136</v>
      </c>
      <c r="C871" s="1" t="s">
        <v>521</v>
      </c>
      <c r="D871" s="1" t="s">
        <v>3137</v>
      </c>
      <c r="E871" s="1" t="s">
        <v>3138</v>
      </c>
      <c r="F871" s="1" t="s">
        <v>524</v>
      </c>
      <c r="G871" s="1">
        <v>38375</v>
      </c>
      <c r="H871" s="1" t="s">
        <v>525</v>
      </c>
    </row>
    <row r="872" spans="1:8" x14ac:dyDescent="0.35">
      <c r="A872" s="1" t="s">
        <v>3139</v>
      </c>
      <c r="B872" s="1" t="s">
        <v>3140</v>
      </c>
      <c r="C872" s="1" t="s">
        <v>521</v>
      </c>
      <c r="D872" s="1" t="s">
        <v>3141</v>
      </c>
      <c r="E872" s="1" t="s">
        <v>3142</v>
      </c>
      <c r="F872" s="1" t="s">
        <v>524</v>
      </c>
      <c r="G872" s="1">
        <v>38357</v>
      </c>
      <c r="H872" s="1" t="s">
        <v>525</v>
      </c>
    </row>
    <row r="873" spans="1:8" x14ac:dyDescent="0.35">
      <c r="A873" s="1" t="s">
        <v>3143</v>
      </c>
      <c r="B873" s="1" t="s">
        <v>3144</v>
      </c>
      <c r="C873" s="1" t="s">
        <v>521</v>
      </c>
      <c r="D873" s="1" t="s">
        <v>3145</v>
      </c>
      <c r="E873" s="1" t="s">
        <v>3146</v>
      </c>
      <c r="F873" s="1" t="s">
        <v>524</v>
      </c>
      <c r="G873" s="1">
        <v>38367</v>
      </c>
      <c r="H873" s="1" t="s">
        <v>525</v>
      </c>
    </row>
    <row r="874" spans="1:8" x14ac:dyDescent="0.35">
      <c r="A874" s="1" t="s">
        <v>3147</v>
      </c>
      <c r="B874" s="1" t="s">
        <v>3148</v>
      </c>
      <c r="C874" s="1" t="s">
        <v>521</v>
      </c>
      <c r="D874" s="1" t="s">
        <v>3149</v>
      </c>
      <c r="E874" s="1" t="s">
        <v>3138</v>
      </c>
      <c r="F874" s="1" t="s">
        <v>524</v>
      </c>
      <c r="G874" s="1">
        <v>38375</v>
      </c>
      <c r="H874" s="1" t="s">
        <v>525</v>
      </c>
    </row>
    <row r="875" spans="1:8" x14ac:dyDescent="0.35">
      <c r="A875" s="1" t="s">
        <v>3150</v>
      </c>
      <c r="B875" s="1" t="s">
        <v>3151</v>
      </c>
      <c r="C875" s="1" t="s">
        <v>521</v>
      </c>
      <c r="D875" s="1" t="s">
        <v>3152</v>
      </c>
      <c r="E875" s="1" t="s">
        <v>3138</v>
      </c>
      <c r="F875" s="1" t="s">
        <v>524</v>
      </c>
      <c r="G875" s="1">
        <v>38375</v>
      </c>
      <c r="H875" s="1" t="s">
        <v>525</v>
      </c>
    </row>
    <row r="876" spans="1:8" x14ac:dyDescent="0.35">
      <c r="A876" s="1" t="s">
        <v>3153</v>
      </c>
      <c r="B876" s="1" t="s">
        <v>912</v>
      </c>
      <c r="C876" s="1" t="s">
        <v>521</v>
      </c>
      <c r="D876" s="1" t="s">
        <v>3154</v>
      </c>
      <c r="E876" s="1" t="s">
        <v>3155</v>
      </c>
      <c r="F876" s="1" t="s">
        <v>524</v>
      </c>
      <c r="G876" s="1">
        <v>37083</v>
      </c>
      <c r="H876" s="1" t="s">
        <v>525</v>
      </c>
    </row>
    <row r="877" spans="1:8" x14ac:dyDescent="0.35">
      <c r="A877" s="1" t="s">
        <v>3156</v>
      </c>
      <c r="B877" s="1" t="s">
        <v>3157</v>
      </c>
      <c r="C877" s="1" t="s">
        <v>521</v>
      </c>
      <c r="D877" s="1" t="s">
        <v>3158</v>
      </c>
      <c r="E877" s="1" t="s">
        <v>3155</v>
      </c>
      <c r="F877" s="1" t="s">
        <v>524</v>
      </c>
      <c r="G877" s="1">
        <v>37083</v>
      </c>
      <c r="H877" s="1" t="s">
        <v>525</v>
      </c>
    </row>
    <row r="878" spans="1:8" x14ac:dyDescent="0.35">
      <c r="A878" s="1" t="s">
        <v>3159</v>
      </c>
      <c r="B878" s="1" t="s">
        <v>3160</v>
      </c>
      <c r="C878" s="1" t="s">
        <v>521</v>
      </c>
      <c r="D878" s="1" t="s">
        <v>3161</v>
      </c>
      <c r="E878" s="1" t="s">
        <v>3155</v>
      </c>
      <c r="F878" s="1" t="s">
        <v>524</v>
      </c>
      <c r="G878" s="1">
        <v>37083</v>
      </c>
      <c r="H878" s="1" t="s">
        <v>525</v>
      </c>
    </row>
    <row r="879" spans="1:8" x14ac:dyDescent="0.35">
      <c r="A879" s="1" t="s">
        <v>269</v>
      </c>
      <c r="B879" s="1" t="s">
        <v>3162</v>
      </c>
      <c r="C879" s="1" t="s">
        <v>521</v>
      </c>
      <c r="D879" s="1" t="s">
        <v>3163</v>
      </c>
      <c r="E879" s="1" t="s">
        <v>3155</v>
      </c>
      <c r="F879" s="1" t="s">
        <v>524</v>
      </c>
      <c r="G879" s="1">
        <v>37083</v>
      </c>
      <c r="H879" s="1" t="s">
        <v>525</v>
      </c>
    </row>
    <row r="880" spans="1:8" x14ac:dyDescent="0.35">
      <c r="A880" s="1" t="s">
        <v>3164</v>
      </c>
      <c r="B880" s="1" t="s">
        <v>3165</v>
      </c>
      <c r="C880" s="1" t="s">
        <v>521</v>
      </c>
      <c r="D880" s="1" t="s">
        <v>3166</v>
      </c>
      <c r="E880" s="1" t="s">
        <v>3155</v>
      </c>
      <c r="F880" s="1" t="s">
        <v>524</v>
      </c>
      <c r="G880" s="1">
        <v>37083</v>
      </c>
      <c r="H880" s="1" t="s">
        <v>525</v>
      </c>
    </row>
    <row r="881" spans="1:8" x14ac:dyDescent="0.35">
      <c r="A881" s="1" t="s">
        <v>3167</v>
      </c>
      <c r="B881" s="1" t="s">
        <v>3168</v>
      </c>
      <c r="C881" s="1" t="s">
        <v>521</v>
      </c>
      <c r="D881" s="1" t="s">
        <v>3169</v>
      </c>
      <c r="E881" s="1" t="s">
        <v>1105</v>
      </c>
      <c r="F881" s="1" t="s">
        <v>524</v>
      </c>
      <c r="G881" s="1">
        <v>37150</v>
      </c>
      <c r="H881" s="1" t="s">
        <v>525</v>
      </c>
    </row>
    <row r="882" spans="1:8" x14ac:dyDescent="0.35">
      <c r="A882" s="1" t="s">
        <v>271</v>
      </c>
      <c r="B882" s="1" t="s">
        <v>3170</v>
      </c>
      <c r="C882" s="1" t="s">
        <v>521</v>
      </c>
      <c r="D882" s="1" t="s">
        <v>3171</v>
      </c>
      <c r="E882" s="1" t="s">
        <v>3172</v>
      </c>
      <c r="F882" s="1" t="s">
        <v>524</v>
      </c>
      <c r="G882" s="1">
        <v>37150</v>
      </c>
      <c r="H882" s="1" t="s">
        <v>525</v>
      </c>
    </row>
    <row r="883" spans="1:8" x14ac:dyDescent="0.35">
      <c r="A883" s="1" t="s">
        <v>3173</v>
      </c>
      <c r="B883" s="1" t="s">
        <v>3122</v>
      </c>
      <c r="C883" s="1" t="s">
        <v>521</v>
      </c>
      <c r="D883" s="1" t="s">
        <v>3174</v>
      </c>
      <c r="E883" s="1" t="s">
        <v>3175</v>
      </c>
      <c r="F883" s="1" t="s">
        <v>524</v>
      </c>
      <c r="G883" s="1">
        <v>37186</v>
      </c>
      <c r="H883" s="1" t="s">
        <v>525</v>
      </c>
    </row>
    <row r="884" spans="1:8" x14ac:dyDescent="0.35">
      <c r="A884" s="1" t="s">
        <v>3176</v>
      </c>
      <c r="B884" s="1" t="s">
        <v>3177</v>
      </c>
      <c r="C884" s="1" t="s">
        <v>521</v>
      </c>
      <c r="D884" s="1" t="s">
        <v>3178</v>
      </c>
      <c r="E884" s="1" t="s">
        <v>3179</v>
      </c>
      <c r="F884" s="1" t="s">
        <v>524</v>
      </c>
      <c r="G884" s="1">
        <v>38301</v>
      </c>
      <c r="H884" s="1" t="s">
        <v>525</v>
      </c>
    </row>
    <row r="885" spans="1:8" x14ac:dyDescent="0.35">
      <c r="A885" s="1" t="s">
        <v>3180</v>
      </c>
      <c r="B885" s="1" t="s">
        <v>3181</v>
      </c>
      <c r="C885" s="1" t="s">
        <v>521</v>
      </c>
      <c r="D885" s="1" t="s">
        <v>3182</v>
      </c>
      <c r="E885" s="1" t="s">
        <v>3179</v>
      </c>
      <c r="F885" s="1" t="s">
        <v>524</v>
      </c>
      <c r="G885" s="1">
        <v>38301</v>
      </c>
      <c r="H885" s="1" t="s">
        <v>525</v>
      </c>
    </row>
    <row r="886" spans="1:8" x14ac:dyDescent="0.35">
      <c r="A886" s="1" t="s">
        <v>3183</v>
      </c>
      <c r="B886" s="1" t="s">
        <v>3184</v>
      </c>
      <c r="C886" s="1" t="s">
        <v>521</v>
      </c>
      <c r="D886" s="1" t="s">
        <v>3185</v>
      </c>
      <c r="E886" s="1" t="s">
        <v>3186</v>
      </c>
      <c r="F886" s="1" t="s">
        <v>524</v>
      </c>
      <c r="G886" s="1">
        <v>38391</v>
      </c>
      <c r="H886" s="1" t="s">
        <v>525</v>
      </c>
    </row>
    <row r="887" spans="1:8" x14ac:dyDescent="0.35">
      <c r="A887" s="1" t="s">
        <v>3187</v>
      </c>
      <c r="B887" s="1" t="s">
        <v>3188</v>
      </c>
      <c r="C887" s="1" t="s">
        <v>521</v>
      </c>
      <c r="D887" s="1" t="s">
        <v>3189</v>
      </c>
      <c r="E887" s="1" t="s">
        <v>3179</v>
      </c>
      <c r="F887" s="1" t="s">
        <v>524</v>
      </c>
      <c r="G887" s="1">
        <v>38301</v>
      </c>
      <c r="H887" s="1" t="s">
        <v>525</v>
      </c>
    </row>
    <row r="888" spans="1:8" x14ac:dyDescent="0.35">
      <c r="A888" s="1" t="s">
        <v>3190</v>
      </c>
      <c r="B888" s="1" t="s">
        <v>3191</v>
      </c>
      <c r="C888" s="1" t="s">
        <v>521</v>
      </c>
      <c r="D888" s="1" t="s">
        <v>3192</v>
      </c>
      <c r="E888" s="1" t="s">
        <v>3179</v>
      </c>
      <c r="F888" s="1" t="s">
        <v>524</v>
      </c>
      <c r="G888" s="1">
        <v>38301</v>
      </c>
      <c r="H888" s="1" t="s">
        <v>525</v>
      </c>
    </row>
    <row r="889" spans="1:8" x14ac:dyDescent="0.35">
      <c r="A889" s="1" t="s">
        <v>3193</v>
      </c>
      <c r="B889" s="1" t="s">
        <v>3194</v>
      </c>
      <c r="C889" s="1" t="s">
        <v>521</v>
      </c>
      <c r="D889" s="1" t="s">
        <v>3195</v>
      </c>
      <c r="E889" s="1" t="s">
        <v>3179</v>
      </c>
      <c r="F889" s="1" t="s">
        <v>524</v>
      </c>
      <c r="G889" s="1">
        <v>38301</v>
      </c>
      <c r="H889" s="1" t="s">
        <v>525</v>
      </c>
    </row>
    <row r="890" spans="1:8" x14ac:dyDescent="0.35">
      <c r="A890" s="1" t="s">
        <v>272</v>
      </c>
      <c r="B890" s="1" t="s">
        <v>3196</v>
      </c>
      <c r="C890" s="1" t="s">
        <v>521</v>
      </c>
      <c r="D890" s="1" t="s">
        <v>3197</v>
      </c>
      <c r="E890" s="1" t="s">
        <v>3179</v>
      </c>
      <c r="F890" s="1" t="s">
        <v>524</v>
      </c>
      <c r="G890" s="1">
        <v>38305</v>
      </c>
      <c r="H890" s="1" t="s">
        <v>525</v>
      </c>
    </row>
    <row r="891" spans="1:8" x14ac:dyDescent="0.35">
      <c r="A891" s="1" t="s">
        <v>3198</v>
      </c>
      <c r="B891" s="1" t="s">
        <v>3199</v>
      </c>
      <c r="C891" s="1" t="s">
        <v>521</v>
      </c>
      <c r="D891" s="1" t="s">
        <v>3200</v>
      </c>
      <c r="E891" s="1" t="s">
        <v>3179</v>
      </c>
      <c r="F891" s="1" t="s">
        <v>524</v>
      </c>
      <c r="G891" s="1">
        <v>38301</v>
      </c>
      <c r="H891" s="1" t="s">
        <v>525</v>
      </c>
    </row>
    <row r="892" spans="1:8" x14ac:dyDescent="0.35">
      <c r="A892" s="1" t="s">
        <v>274</v>
      </c>
      <c r="B892" s="1" t="s">
        <v>3201</v>
      </c>
      <c r="C892" s="1" t="s">
        <v>521</v>
      </c>
      <c r="D892" s="1" t="s">
        <v>3202</v>
      </c>
      <c r="E892" s="1" t="s">
        <v>3179</v>
      </c>
      <c r="F892" s="1" t="s">
        <v>524</v>
      </c>
      <c r="G892" s="1">
        <v>38301</v>
      </c>
      <c r="H892" s="1" t="s">
        <v>525</v>
      </c>
    </row>
    <row r="893" spans="1:8" x14ac:dyDescent="0.35">
      <c r="A893" s="1" t="s">
        <v>275</v>
      </c>
      <c r="B893" s="1" t="s">
        <v>3203</v>
      </c>
      <c r="C893" s="1" t="s">
        <v>521</v>
      </c>
      <c r="D893" s="1" t="s">
        <v>3204</v>
      </c>
      <c r="E893" s="1" t="s">
        <v>3179</v>
      </c>
      <c r="F893" s="1" t="s">
        <v>524</v>
      </c>
      <c r="G893" s="1">
        <v>38305</v>
      </c>
      <c r="H893" s="1" t="s">
        <v>525</v>
      </c>
    </row>
    <row r="894" spans="1:8" x14ac:dyDescent="0.35">
      <c r="A894" s="1" t="s">
        <v>3205</v>
      </c>
      <c r="B894" s="1" t="s">
        <v>3206</v>
      </c>
      <c r="C894" s="1" t="s">
        <v>521</v>
      </c>
      <c r="D894" s="1" t="s">
        <v>3207</v>
      </c>
      <c r="E894" s="1" t="s">
        <v>3179</v>
      </c>
      <c r="F894" s="1" t="s">
        <v>524</v>
      </c>
      <c r="G894" s="1">
        <v>38305</v>
      </c>
      <c r="H894" s="1" t="s">
        <v>525</v>
      </c>
    </row>
    <row r="895" spans="1:8" x14ac:dyDescent="0.35">
      <c r="A895" s="1" t="s">
        <v>3208</v>
      </c>
      <c r="B895" s="1" t="s">
        <v>3209</v>
      </c>
      <c r="C895" s="1" t="s">
        <v>521</v>
      </c>
      <c r="D895" s="1" t="s">
        <v>3210</v>
      </c>
      <c r="E895" s="1" t="s">
        <v>3179</v>
      </c>
      <c r="F895" s="1" t="s">
        <v>524</v>
      </c>
      <c r="G895" s="1">
        <v>38301</v>
      </c>
      <c r="H895" s="1" t="s">
        <v>525</v>
      </c>
    </row>
    <row r="896" spans="1:8" x14ac:dyDescent="0.35">
      <c r="A896" s="1" t="s">
        <v>3211</v>
      </c>
      <c r="B896" s="1" t="s">
        <v>3212</v>
      </c>
      <c r="C896" s="1" t="s">
        <v>521</v>
      </c>
      <c r="D896" s="1" t="s">
        <v>3213</v>
      </c>
      <c r="E896" s="1" t="s">
        <v>3179</v>
      </c>
      <c r="F896" s="1" t="s">
        <v>524</v>
      </c>
      <c r="G896" s="1">
        <v>38305</v>
      </c>
      <c r="H896" s="1" t="s">
        <v>525</v>
      </c>
    </row>
    <row r="897" spans="1:8" x14ac:dyDescent="0.35">
      <c r="A897" s="1" t="s">
        <v>3214</v>
      </c>
      <c r="B897" s="1" t="s">
        <v>3215</v>
      </c>
      <c r="C897" s="1" t="s">
        <v>521</v>
      </c>
      <c r="D897" s="1" t="s">
        <v>3216</v>
      </c>
      <c r="E897" s="1" t="s">
        <v>3217</v>
      </c>
      <c r="F897" s="1" t="s">
        <v>524</v>
      </c>
      <c r="G897" s="1">
        <v>38366</v>
      </c>
      <c r="H897" s="1" t="s">
        <v>525</v>
      </c>
    </row>
    <row r="898" spans="1:8" x14ac:dyDescent="0.35">
      <c r="A898" s="1" t="s">
        <v>276</v>
      </c>
      <c r="B898" s="1" t="s">
        <v>3218</v>
      </c>
      <c r="C898" s="1" t="s">
        <v>521</v>
      </c>
      <c r="D898" s="1" t="s">
        <v>3219</v>
      </c>
      <c r="E898" s="1" t="s">
        <v>3179</v>
      </c>
      <c r="F898" s="1" t="s">
        <v>524</v>
      </c>
      <c r="G898" s="1">
        <v>38301</v>
      </c>
      <c r="H898" s="1" t="s">
        <v>525</v>
      </c>
    </row>
    <row r="899" spans="1:8" x14ac:dyDescent="0.35">
      <c r="A899" s="1" t="s">
        <v>3220</v>
      </c>
      <c r="B899" s="1" t="s">
        <v>3221</v>
      </c>
      <c r="C899" s="1" t="s">
        <v>521</v>
      </c>
      <c r="D899" s="1" t="s">
        <v>3222</v>
      </c>
      <c r="E899" s="1" t="s">
        <v>3179</v>
      </c>
      <c r="F899" s="1" t="s">
        <v>524</v>
      </c>
      <c r="G899" s="1">
        <v>38305</v>
      </c>
      <c r="H899" s="1" t="s">
        <v>525</v>
      </c>
    </row>
    <row r="900" spans="1:8" x14ac:dyDescent="0.35">
      <c r="A900" s="1" t="s">
        <v>3223</v>
      </c>
      <c r="B900" s="1" t="s">
        <v>3224</v>
      </c>
      <c r="C900" s="1" t="s">
        <v>521</v>
      </c>
      <c r="D900" s="1" t="s">
        <v>3225</v>
      </c>
      <c r="E900" s="1" t="s">
        <v>3179</v>
      </c>
      <c r="F900" s="1" t="s">
        <v>524</v>
      </c>
      <c r="G900" s="1">
        <v>38301</v>
      </c>
      <c r="H900" s="1" t="s">
        <v>525</v>
      </c>
    </row>
    <row r="901" spans="1:8" x14ac:dyDescent="0.35">
      <c r="A901" s="1" t="s">
        <v>3226</v>
      </c>
      <c r="B901" s="1" t="s">
        <v>1917</v>
      </c>
      <c r="C901" s="1" t="s">
        <v>521</v>
      </c>
      <c r="D901" s="1" t="s">
        <v>3227</v>
      </c>
      <c r="E901" s="1" t="s">
        <v>3179</v>
      </c>
      <c r="F901" s="1" t="s">
        <v>524</v>
      </c>
      <c r="G901" s="1">
        <v>38305</v>
      </c>
      <c r="H901" s="1" t="s">
        <v>525</v>
      </c>
    </row>
    <row r="902" spans="1:8" x14ac:dyDescent="0.35">
      <c r="A902" s="1" t="s">
        <v>3228</v>
      </c>
      <c r="B902" s="1" t="s">
        <v>3229</v>
      </c>
      <c r="C902" s="1" t="s">
        <v>521</v>
      </c>
      <c r="D902" s="1" t="s">
        <v>3230</v>
      </c>
      <c r="E902" s="1" t="s">
        <v>3179</v>
      </c>
      <c r="F902" s="1" t="s">
        <v>524</v>
      </c>
      <c r="G902" s="1">
        <v>38305</v>
      </c>
      <c r="H902" s="1" t="s">
        <v>525</v>
      </c>
    </row>
    <row r="903" spans="1:8" x14ac:dyDescent="0.35">
      <c r="A903" s="1" t="s">
        <v>3231</v>
      </c>
      <c r="B903" s="1" t="s">
        <v>3232</v>
      </c>
      <c r="C903" s="1" t="s">
        <v>521</v>
      </c>
      <c r="D903" s="1" t="s">
        <v>3233</v>
      </c>
      <c r="E903" s="1" t="s">
        <v>3179</v>
      </c>
      <c r="F903" s="1" t="s">
        <v>524</v>
      </c>
      <c r="G903" s="1">
        <v>38305</v>
      </c>
      <c r="H903" s="1" t="s">
        <v>525</v>
      </c>
    </row>
    <row r="904" spans="1:8" x14ac:dyDescent="0.35">
      <c r="A904" s="1" t="s">
        <v>3234</v>
      </c>
      <c r="B904" s="1" t="s">
        <v>3235</v>
      </c>
      <c r="C904" s="1" t="s">
        <v>521</v>
      </c>
      <c r="D904" s="1" t="s">
        <v>3236</v>
      </c>
      <c r="E904" s="1" t="s">
        <v>3179</v>
      </c>
      <c r="F904" s="1" t="s">
        <v>524</v>
      </c>
      <c r="G904" s="1">
        <v>38305</v>
      </c>
      <c r="H904" s="1" t="s">
        <v>525</v>
      </c>
    </row>
    <row r="905" spans="1:8" x14ac:dyDescent="0.35">
      <c r="A905" s="1" t="s">
        <v>3237</v>
      </c>
      <c r="B905" s="1" t="s">
        <v>3238</v>
      </c>
      <c r="C905" s="1" t="s">
        <v>521</v>
      </c>
      <c r="D905" s="1" t="s">
        <v>3239</v>
      </c>
      <c r="E905" s="1" t="s">
        <v>3240</v>
      </c>
      <c r="F905" s="1" t="s">
        <v>524</v>
      </c>
      <c r="G905" s="1">
        <v>37347</v>
      </c>
      <c r="H905" s="1" t="s">
        <v>525</v>
      </c>
    </row>
    <row r="906" spans="1:8" x14ac:dyDescent="0.35">
      <c r="A906" s="1" t="s">
        <v>3241</v>
      </c>
      <c r="B906" s="1" t="s">
        <v>3242</v>
      </c>
      <c r="C906" s="1" t="s">
        <v>521</v>
      </c>
      <c r="D906" s="1" t="s">
        <v>3243</v>
      </c>
      <c r="E906" s="1" t="s">
        <v>3240</v>
      </c>
      <c r="F906" s="1" t="s">
        <v>524</v>
      </c>
      <c r="G906" s="1">
        <v>37347</v>
      </c>
      <c r="H906" s="1" t="s">
        <v>525</v>
      </c>
    </row>
    <row r="907" spans="1:8" x14ac:dyDescent="0.35">
      <c r="A907" s="1" t="s">
        <v>277</v>
      </c>
      <c r="B907" s="1" t="s">
        <v>3244</v>
      </c>
      <c r="C907" s="1" t="s">
        <v>521</v>
      </c>
      <c r="D907" s="1" t="s">
        <v>3245</v>
      </c>
      <c r="E907" s="1" t="s">
        <v>3240</v>
      </c>
      <c r="F907" s="1" t="s">
        <v>524</v>
      </c>
      <c r="G907" s="1">
        <v>37347</v>
      </c>
      <c r="H907" s="1" t="s">
        <v>525</v>
      </c>
    </row>
    <row r="908" spans="1:8" x14ac:dyDescent="0.35">
      <c r="A908" s="1" t="s">
        <v>3246</v>
      </c>
      <c r="B908" s="1" t="s">
        <v>3247</v>
      </c>
      <c r="C908" s="1" t="s">
        <v>521</v>
      </c>
      <c r="D908" s="1" t="s">
        <v>3248</v>
      </c>
      <c r="E908" s="1" t="s">
        <v>3249</v>
      </c>
      <c r="F908" s="1" t="s">
        <v>524</v>
      </c>
      <c r="G908" s="1">
        <v>37356</v>
      </c>
      <c r="H908" s="1" t="s">
        <v>525</v>
      </c>
    </row>
    <row r="909" spans="1:8" x14ac:dyDescent="0.35">
      <c r="A909" s="1" t="s">
        <v>3250</v>
      </c>
      <c r="B909" s="1" t="s">
        <v>3251</v>
      </c>
      <c r="C909" s="1" t="s">
        <v>521</v>
      </c>
      <c r="D909" s="1" t="s">
        <v>3252</v>
      </c>
      <c r="E909" s="1" t="s">
        <v>3253</v>
      </c>
      <c r="F909" s="1" t="s">
        <v>524</v>
      </c>
      <c r="G909" s="1">
        <v>37380</v>
      </c>
      <c r="H909" s="1" t="s">
        <v>525</v>
      </c>
    </row>
    <row r="910" spans="1:8" x14ac:dyDescent="0.35">
      <c r="A910" s="1" t="s">
        <v>279</v>
      </c>
      <c r="B910" s="1" t="s">
        <v>3254</v>
      </c>
      <c r="C910" s="1" t="s">
        <v>521</v>
      </c>
      <c r="D910" s="1" t="s">
        <v>3255</v>
      </c>
      <c r="E910" s="1" t="s">
        <v>3253</v>
      </c>
      <c r="F910" s="1" t="s">
        <v>524</v>
      </c>
      <c r="G910" s="1">
        <v>37380</v>
      </c>
      <c r="H910" s="1" t="s">
        <v>525</v>
      </c>
    </row>
    <row r="911" spans="1:8" x14ac:dyDescent="0.35">
      <c r="A911" s="1" t="s">
        <v>3256</v>
      </c>
      <c r="B911" s="1" t="s">
        <v>3257</v>
      </c>
      <c r="C911" s="1" t="s">
        <v>521</v>
      </c>
      <c r="D911" s="1" t="s">
        <v>3258</v>
      </c>
      <c r="E911" s="1" t="s">
        <v>3259</v>
      </c>
      <c r="F911" s="1" t="s">
        <v>524</v>
      </c>
      <c r="G911" s="1">
        <v>37397</v>
      </c>
      <c r="H911" s="1" t="s">
        <v>525</v>
      </c>
    </row>
    <row r="912" spans="1:8" x14ac:dyDescent="0.35">
      <c r="A912" s="1" t="s">
        <v>3260</v>
      </c>
      <c r="B912" s="1" t="s">
        <v>3261</v>
      </c>
      <c r="C912" s="1" t="s">
        <v>521</v>
      </c>
      <c r="D912" s="1" t="s">
        <v>3262</v>
      </c>
      <c r="E912" s="1" t="s">
        <v>3259</v>
      </c>
      <c r="F912" s="1" t="s">
        <v>524</v>
      </c>
      <c r="G912" s="1">
        <v>37397</v>
      </c>
      <c r="H912" s="1" t="s">
        <v>525</v>
      </c>
    </row>
    <row r="913" spans="1:8" x14ac:dyDescent="0.35">
      <c r="A913" s="1" t="s">
        <v>280</v>
      </c>
      <c r="B913" s="1" t="s">
        <v>3263</v>
      </c>
      <c r="C913" s="1" t="s">
        <v>521</v>
      </c>
      <c r="D913" s="1" t="s">
        <v>3264</v>
      </c>
      <c r="E913" s="1" t="s">
        <v>3259</v>
      </c>
      <c r="F913" s="1" t="s">
        <v>524</v>
      </c>
      <c r="G913" s="1">
        <v>37397</v>
      </c>
      <c r="H913" s="1" t="s">
        <v>525</v>
      </c>
    </row>
    <row r="914" spans="1:8" x14ac:dyDescent="0.35">
      <c r="A914" s="1" t="s">
        <v>3265</v>
      </c>
      <c r="B914" s="1" t="s">
        <v>3266</v>
      </c>
      <c r="C914" s="1" t="s">
        <v>521</v>
      </c>
      <c r="D914" s="1" t="s">
        <v>3267</v>
      </c>
      <c r="E914" s="1" t="s">
        <v>3240</v>
      </c>
      <c r="F914" s="1" t="s">
        <v>524</v>
      </c>
      <c r="G914" s="1">
        <v>37347</v>
      </c>
      <c r="H914" s="1" t="s">
        <v>525</v>
      </c>
    </row>
    <row r="915" spans="1:8" x14ac:dyDescent="0.35">
      <c r="A915" s="1" t="s">
        <v>281</v>
      </c>
      <c r="B915" s="1" t="s">
        <v>3268</v>
      </c>
      <c r="C915" s="1" t="s">
        <v>521</v>
      </c>
      <c r="D915" s="1" t="s">
        <v>3269</v>
      </c>
      <c r="E915" s="1" t="s">
        <v>3253</v>
      </c>
      <c r="F915" s="1" t="s">
        <v>524</v>
      </c>
      <c r="G915" s="1">
        <v>37380</v>
      </c>
      <c r="H915" s="1" t="s">
        <v>525</v>
      </c>
    </row>
    <row r="916" spans="1:8" x14ac:dyDescent="0.35">
      <c r="A916" s="1" t="s">
        <v>3270</v>
      </c>
      <c r="B916" s="1" t="s">
        <v>3271</v>
      </c>
      <c r="C916" s="1" t="s">
        <v>521</v>
      </c>
      <c r="D916" s="1" t="s">
        <v>3272</v>
      </c>
      <c r="E916" s="1" t="s">
        <v>3273</v>
      </c>
      <c r="F916" s="1" t="s">
        <v>524</v>
      </c>
      <c r="G916" s="1">
        <v>37034</v>
      </c>
      <c r="H916" s="1" t="s">
        <v>525</v>
      </c>
    </row>
    <row r="917" spans="1:8" x14ac:dyDescent="0.35">
      <c r="A917" s="1" t="s">
        <v>3274</v>
      </c>
      <c r="B917" s="1" t="s">
        <v>3275</v>
      </c>
      <c r="C917" s="1" t="s">
        <v>521</v>
      </c>
      <c r="D917" s="1" t="s">
        <v>3276</v>
      </c>
      <c r="E917" s="1" t="s">
        <v>3277</v>
      </c>
      <c r="F917" s="1" t="s">
        <v>524</v>
      </c>
      <c r="G917" s="1">
        <v>37047</v>
      </c>
      <c r="H917" s="1" t="s">
        <v>525</v>
      </c>
    </row>
    <row r="918" spans="1:8" x14ac:dyDescent="0.35">
      <c r="A918" s="1" t="s">
        <v>283</v>
      </c>
      <c r="B918" s="1" t="s">
        <v>3278</v>
      </c>
      <c r="C918" s="1" t="s">
        <v>521</v>
      </c>
      <c r="D918" s="1" t="s">
        <v>3279</v>
      </c>
      <c r="E918" s="1" t="s">
        <v>3277</v>
      </c>
      <c r="F918" s="1" t="s">
        <v>524</v>
      </c>
      <c r="G918" s="1">
        <v>37047</v>
      </c>
      <c r="H918" s="1" t="s">
        <v>525</v>
      </c>
    </row>
    <row r="919" spans="1:8" x14ac:dyDescent="0.35">
      <c r="A919" s="1" t="s">
        <v>285</v>
      </c>
      <c r="B919" s="1" t="s">
        <v>3280</v>
      </c>
      <c r="C919" s="1" t="s">
        <v>521</v>
      </c>
      <c r="D919" s="1" t="s">
        <v>3281</v>
      </c>
      <c r="E919" s="1" t="s">
        <v>3273</v>
      </c>
      <c r="F919" s="1" t="s">
        <v>524</v>
      </c>
      <c r="G919" s="1">
        <v>37034</v>
      </c>
      <c r="H919" s="1" t="s">
        <v>525</v>
      </c>
    </row>
    <row r="920" spans="1:8" x14ac:dyDescent="0.35">
      <c r="A920" s="1" t="s">
        <v>3282</v>
      </c>
      <c r="B920" s="1" t="s">
        <v>3283</v>
      </c>
      <c r="C920" s="1" t="s">
        <v>521</v>
      </c>
      <c r="D920" s="1" t="s">
        <v>3284</v>
      </c>
      <c r="E920" s="1" t="s">
        <v>3285</v>
      </c>
      <c r="F920" s="1" t="s">
        <v>524</v>
      </c>
      <c r="G920" s="1">
        <v>37091</v>
      </c>
      <c r="H920" s="1" t="s">
        <v>525</v>
      </c>
    </row>
    <row r="921" spans="1:8" x14ac:dyDescent="0.35">
      <c r="A921" s="1" t="s">
        <v>3286</v>
      </c>
      <c r="B921" s="1" t="s">
        <v>3287</v>
      </c>
      <c r="C921" s="1" t="s">
        <v>521</v>
      </c>
      <c r="D921" s="1" t="s">
        <v>3288</v>
      </c>
      <c r="E921" s="1" t="s">
        <v>3285</v>
      </c>
      <c r="F921" s="1" t="s">
        <v>524</v>
      </c>
      <c r="G921" s="1">
        <v>37091</v>
      </c>
      <c r="H921" s="1" t="s">
        <v>525</v>
      </c>
    </row>
    <row r="922" spans="1:8" x14ac:dyDescent="0.35">
      <c r="A922" s="1" t="s">
        <v>286</v>
      </c>
      <c r="B922" s="1" t="s">
        <v>3289</v>
      </c>
      <c r="C922" s="1" t="s">
        <v>521</v>
      </c>
      <c r="D922" s="1" t="s">
        <v>3290</v>
      </c>
      <c r="E922" s="1" t="s">
        <v>3285</v>
      </c>
      <c r="F922" s="1" t="s">
        <v>524</v>
      </c>
      <c r="G922" s="1">
        <v>37091</v>
      </c>
      <c r="H922" s="1" t="s">
        <v>525</v>
      </c>
    </row>
    <row r="923" spans="1:8" x14ac:dyDescent="0.35">
      <c r="A923" s="1" t="s">
        <v>3291</v>
      </c>
      <c r="B923" s="1" t="s">
        <v>3292</v>
      </c>
      <c r="C923" s="1" t="s">
        <v>521</v>
      </c>
      <c r="D923" s="1" t="s">
        <v>3293</v>
      </c>
      <c r="E923" s="1" t="s">
        <v>3285</v>
      </c>
      <c r="F923" s="1" t="s">
        <v>524</v>
      </c>
      <c r="G923" s="1">
        <v>37091</v>
      </c>
      <c r="H923" s="1" t="s">
        <v>525</v>
      </c>
    </row>
    <row r="924" spans="1:8" x14ac:dyDescent="0.35">
      <c r="A924" s="1" t="s">
        <v>3294</v>
      </c>
      <c r="B924" s="1" t="s">
        <v>3295</v>
      </c>
      <c r="C924" s="1" t="s">
        <v>521</v>
      </c>
      <c r="D924" s="1" t="s">
        <v>3296</v>
      </c>
      <c r="E924" s="1" t="s">
        <v>3285</v>
      </c>
      <c r="F924" s="1" t="s">
        <v>524</v>
      </c>
      <c r="G924" s="1">
        <v>37091</v>
      </c>
      <c r="H924" s="1" t="s">
        <v>525</v>
      </c>
    </row>
    <row r="925" spans="1:8" x14ac:dyDescent="0.35">
      <c r="A925" s="1" t="s">
        <v>3297</v>
      </c>
      <c r="B925" s="1" t="s">
        <v>3298</v>
      </c>
      <c r="C925" s="1" t="s">
        <v>521</v>
      </c>
      <c r="D925" s="1" t="s">
        <v>3299</v>
      </c>
      <c r="E925" s="1" t="s">
        <v>3273</v>
      </c>
      <c r="F925" s="1" t="s">
        <v>524</v>
      </c>
      <c r="G925" s="1">
        <v>37034</v>
      </c>
      <c r="H925" s="1" t="s">
        <v>525</v>
      </c>
    </row>
    <row r="926" spans="1:8" x14ac:dyDescent="0.35">
      <c r="A926" s="1" t="s">
        <v>3300</v>
      </c>
      <c r="B926" s="1" t="s">
        <v>3301</v>
      </c>
      <c r="C926" s="1" t="s">
        <v>521</v>
      </c>
      <c r="D926" s="1" t="s">
        <v>3302</v>
      </c>
      <c r="E926" s="1" t="s">
        <v>3303</v>
      </c>
      <c r="F926" s="1" t="s">
        <v>524</v>
      </c>
      <c r="G926" s="1">
        <v>38401</v>
      </c>
      <c r="H926" s="1" t="s">
        <v>525</v>
      </c>
    </row>
    <row r="927" spans="1:8" x14ac:dyDescent="0.35">
      <c r="A927" s="1" t="s">
        <v>3304</v>
      </c>
      <c r="B927" s="1" t="s">
        <v>3305</v>
      </c>
      <c r="C927" s="1" t="s">
        <v>521</v>
      </c>
      <c r="D927" s="1" t="s">
        <v>3306</v>
      </c>
      <c r="E927" s="1" t="s">
        <v>3303</v>
      </c>
      <c r="F927" s="1" t="s">
        <v>524</v>
      </c>
      <c r="G927" s="1">
        <v>38401</v>
      </c>
      <c r="H927" s="1" t="s">
        <v>525</v>
      </c>
    </row>
    <row r="928" spans="1:8" x14ac:dyDescent="0.35">
      <c r="A928" s="1" t="s">
        <v>287</v>
      </c>
      <c r="B928" s="1" t="s">
        <v>3307</v>
      </c>
      <c r="C928" s="1" t="s">
        <v>521</v>
      </c>
      <c r="D928" s="1" t="s">
        <v>3308</v>
      </c>
      <c r="E928" s="1" t="s">
        <v>3303</v>
      </c>
      <c r="F928" s="1" t="s">
        <v>524</v>
      </c>
      <c r="G928" s="1">
        <v>38401</v>
      </c>
      <c r="H928" s="1" t="s">
        <v>525</v>
      </c>
    </row>
    <row r="929" spans="1:8" x14ac:dyDescent="0.35">
      <c r="A929" s="1" t="s">
        <v>289</v>
      </c>
      <c r="B929" s="1" t="s">
        <v>3309</v>
      </c>
      <c r="C929" s="1" t="s">
        <v>521</v>
      </c>
      <c r="D929" s="1" t="s">
        <v>3310</v>
      </c>
      <c r="E929" s="1" t="s">
        <v>3311</v>
      </c>
      <c r="F929" s="1" t="s">
        <v>524</v>
      </c>
      <c r="G929" s="1">
        <v>38451</v>
      </c>
      <c r="H929" s="1" t="s">
        <v>525</v>
      </c>
    </row>
    <row r="930" spans="1:8" x14ac:dyDescent="0.35">
      <c r="A930" s="1" t="s">
        <v>3312</v>
      </c>
      <c r="B930" s="1" t="s">
        <v>3313</v>
      </c>
      <c r="C930" s="1" t="s">
        <v>521</v>
      </c>
      <c r="D930" s="1" t="s">
        <v>3314</v>
      </c>
      <c r="E930" s="1" t="s">
        <v>3303</v>
      </c>
      <c r="F930" s="1" t="s">
        <v>524</v>
      </c>
      <c r="G930" s="1">
        <v>38401</v>
      </c>
      <c r="H930" s="1" t="s">
        <v>525</v>
      </c>
    </row>
    <row r="931" spans="1:8" x14ac:dyDescent="0.35">
      <c r="A931" s="1" t="s">
        <v>290</v>
      </c>
      <c r="B931" s="1" t="s">
        <v>3315</v>
      </c>
      <c r="C931" s="1" t="s">
        <v>521</v>
      </c>
      <c r="D931" s="1" t="s">
        <v>3316</v>
      </c>
      <c r="E931" s="1" t="s">
        <v>3317</v>
      </c>
      <c r="F931" s="1" t="s">
        <v>524</v>
      </c>
      <c r="G931" s="1">
        <v>38461</v>
      </c>
      <c r="H931" s="1" t="s">
        <v>525</v>
      </c>
    </row>
    <row r="932" spans="1:8" x14ac:dyDescent="0.35">
      <c r="A932" s="1" t="s">
        <v>3318</v>
      </c>
      <c r="B932" s="1" t="s">
        <v>3055</v>
      </c>
      <c r="C932" s="1" t="s">
        <v>521</v>
      </c>
      <c r="D932" s="1" t="s">
        <v>3319</v>
      </c>
      <c r="E932" s="1" t="s">
        <v>3303</v>
      </c>
      <c r="F932" s="1" t="s">
        <v>524</v>
      </c>
      <c r="G932" s="1">
        <v>38401</v>
      </c>
      <c r="H932" s="1" t="s">
        <v>525</v>
      </c>
    </row>
    <row r="933" spans="1:8" x14ac:dyDescent="0.35">
      <c r="A933" s="1" t="s">
        <v>3320</v>
      </c>
      <c r="B933" s="1" t="s">
        <v>3321</v>
      </c>
      <c r="C933" s="1" t="s">
        <v>521</v>
      </c>
      <c r="D933" s="1" t="s">
        <v>3322</v>
      </c>
      <c r="E933" s="1" t="s">
        <v>3303</v>
      </c>
      <c r="F933" s="1" t="s">
        <v>524</v>
      </c>
      <c r="G933" s="1">
        <v>38401</v>
      </c>
      <c r="H933" s="1" t="s">
        <v>525</v>
      </c>
    </row>
    <row r="934" spans="1:8" x14ac:dyDescent="0.35">
      <c r="A934" s="1" t="s">
        <v>3323</v>
      </c>
      <c r="B934" s="1" t="s">
        <v>3324</v>
      </c>
      <c r="C934" s="1" t="s">
        <v>521</v>
      </c>
      <c r="D934" s="1" t="s">
        <v>3325</v>
      </c>
      <c r="E934" s="1" t="s">
        <v>3326</v>
      </c>
      <c r="F934" s="1" t="s">
        <v>524</v>
      </c>
      <c r="G934" s="1">
        <v>37174</v>
      </c>
      <c r="H934" s="1" t="s">
        <v>525</v>
      </c>
    </row>
    <row r="935" spans="1:8" x14ac:dyDescent="0.35">
      <c r="A935" s="1" t="s">
        <v>3327</v>
      </c>
      <c r="B935" s="1" t="s">
        <v>3328</v>
      </c>
      <c r="C935" s="1" t="s">
        <v>521</v>
      </c>
      <c r="D935" s="1" t="s">
        <v>3329</v>
      </c>
      <c r="E935" s="1" t="s">
        <v>3303</v>
      </c>
      <c r="F935" s="1" t="s">
        <v>524</v>
      </c>
      <c r="G935" s="1">
        <v>38401</v>
      </c>
      <c r="H935" s="1" t="s">
        <v>525</v>
      </c>
    </row>
    <row r="936" spans="1:8" x14ac:dyDescent="0.35">
      <c r="A936" s="1" t="s">
        <v>3330</v>
      </c>
      <c r="B936" s="1" t="s">
        <v>3331</v>
      </c>
      <c r="C936" s="1" t="s">
        <v>521</v>
      </c>
      <c r="D936" s="1" t="s">
        <v>3332</v>
      </c>
      <c r="E936" s="1" t="s">
        <v>3333</v>
      </c>
      <c r="F936" s="1" t="s">
        <v>524</v>
      </c>
      <c r="G936" s="1">
        <v>38474</v>
      </c>
      <c r="H936" s="1" t="s">
        <v>525</v>
      </c>
    </row>
    <row r="937" spans="1:8" x14ac:dyDescent="0.35">
      <c r="A937" s="1" t="s">
        <v>3334</v>
      </c>
      <c r="B937" s="1" t="s">
        <v>3335</v>
      </c>
      <c r="C937" s="1" t="s">
        <v>521</v>
      </c>
      <c r="D937" s="1" t="s">
        <v>3336</v>
      </c>
      <c r="E937" s="1" t="s">
        <v>3337</v>
      </c>
      <c r="F937" s="1" t="s">
        <v>524</v>
      </c>
      <c r="G937" s="1">
        <v>38474</v>
      </c>
      <c r="H937" s="1" t="s">
        <v>525</v>
      </c>
    </row>
    <row r="938" spans="1:8" x14ac:dyDescent="0.35">
      <c r="A938" s="1" t="s">
        <v>291</v>
      </c>
      <c r="B938" s="1" t="s">
        <v>3338</v>
      </c>
      <c r="C938" s="1" t="s">
        <v>521</v>
      </c>
      <c r="D938" s="1" t="s">
        <v>3339</v>
      </c>
      <c r="E938" s="1" t="s">
        <v>3333</v>
      </c>
      <c r="F938" s="1" t="s">
        <v>524</v>
      </c>
      <c r="G938" s="1">
        <v>38474</v>
      </c>
      <c r="H938" s="1" t="s">
        <v>525</v>
      </c>
    </row>
    <row r="939" spans="1:8" x14ac:dyDescent="0.35">
      <c r="A939" s="1" t="s">
        <v>3340</v>
      </c>
      <c r="B939" s="1" t="s">
        <v>3341</v>
      </c>
      <c r="C939" s="1" t="s">
        <v>521</v>
      </c>
      <c r="D939" s="1" t="s">
        <v>3342</v>
      </c>
      <c r="E939" s="1" t="s">
        <v>3303</v>
      </c>
      <c r="F939" s="1" t="s">
        <v>524</v>
      </c>
      <c r="G939" s="1">
        <v>38401</v>
      </c>
      <c r="H939" s="1" t="s">
        <v>525</v>
      </c>
    </row>
    <row r="940" spans="1:8" x14ac:dyDescent="0.35">
      <c r="A940" s="1" t="s">
        <v>3343</v>
      </c>
      <c r="B940" s="1" t="s">
        <v>3344</v>
      </c>
      <c r="C940" s="1" t="s">
        <v>521</v>
      </c>
      <c r="D940" s="1" t="s">
        <v>3345</v>
      </c>
      <c r="E940" s="1" t="s">
        <v>3303</v>
      </c>
      <c r="F940" s="1" t="s">
        <v>524</v>
      </c>
      <c r="G940" s="1">
        <v>38401</v>
      </c>
      <c r="H940" s="1" t="s">
        <v>525</v>
      </c>
    </row>
    <row r="941" spans="1:8" x14ac:dyDescent="0.35">
      <c r="A941" s="1" t="s">
        <v>292</v>
      </c>
      <c r="B941" s="1" t="s">
        <v>3346</v>
      </c>
      <c r="C941" s="1" t="s">
        <v>521</v>
      </c>
      <c r="D941" s="1" t="s">
        <v>3347</v>
      </c>
      <c r="E941" s="1" t="s">
        <v>3348</v>
      </c>
      <c r="F941" s="1" t="s">
        <v>524</v>
      </c>
      <c r="G941" s="1">
        <v>38482</v>
      </c>
      <c r="H941" s="1" t="s">
        <v>525</v>
      </c>
    </row>
    <row r="942" spans="1:8" x14ac:dyDescent="0.35">
      <c r="A942" s="1" t="s">
        <v>3349</v>
      </c>
      <c r="B942" s="1" t="s">
        <v>1966</v>
      </c>
      <c r="C942" s="1" t="s">
        <v>521</v>
      </c>
      <c r="D942" s="1" t="s">
        <v>3350</v>
      </c>
      <c r="E942" s="1" t="s">
        <v>3326</v>
      </c>
      <c r="F942" s="1" t="s">
        <v>524</v>
      </c>
      <c r="G942" s="1">
        <v>37174</v>
      </c>
      <c r="H942" s="1" t="s">
        <v>525</v>
      </c>
    </row>
    <row r="943" spans="1:8" x14ac:dyDescent="0.35">
      <c r="A943" s="1" t="s">
        <v>293</v>
      </c>
      <c r="B943" s="1" t="s">
        <v>3351</v>
      </c>
      <c r="C943" s="1" t="s">
        <v>521</v>
      </c>
      <c r="D943" s="1" t="s">
        <v>3352</v>
      </c>
      <c r="E943" s="1" t="s">
        <v>3303</v>
      </c>
      <c r="F943" s="1" t="s">
        <v>524</v>
      </c>
      <c r="G943" s="1">
        <v>38401</v>
      </c>
      <c r="H943" s="1" t="s">
        <v>525</v>
      </c>
    </row>
    <row r="944" spans="1:8" x14ac:dyDescent="0.35">
      <c r="A944" s="1" t="s">
        <v>3353</v>
      </c>
      <c r="B944" s="1" t="s">
        <v>3354</v>
      </c>
      <c r="C944" s="1" t="s">
        <v>521</v>
      </c>
      <c r="D944" s="1" t="s">
        <v>3355</v>
      </c>
      <c r="E944" s="1" t="s">
        <v>3303</v>
      </c>
      <c r="F944" s="1" t="s">
        <v>524</v>
      </c>
      <c r="G944" s="1">
        <v>38401</v>
      </c>
      <c r="H944" s="1" t="s">
        <v>525</v>
      </c>
    </row>
    <row r="945" spans="1:8" x14ac:dyDescent="0.35">
      <c r="A945" s="1" t="s">
        <v>3356</v>
      </c>
      <c r="B945" s="1" t="s">
        <v>3357</v>
      </c>
      <c r="C945" s="1" t="s">
        <v>521</v>
      </c>
      <c r="D945" s="1" t="s">
        <v>3358</v>
      </c>
      <c r="E945" s="1" t="s">
        <v>3326</v>
      </c>
      <c r="F945" s="1" t="s">
        <v>524</v>
      </c>
      <c r="G945" s="1">
        <v>37174</v>
      </c>
      <c r="H945" s="1" t="s">
        <v>525</v>
      </c>
    </row>
    <row r="946" spans="1:8" x14ac:dyDescent="0.35">
      <c r="A946" s="1" t="s">
        <v>294</v>
      </c>
      <c r="B946" s="1" t="s">
        <v>3359</v>
      </c>
      <c r="C946" s="1" t="s">
        <v>521</v>
      </c>
      <c r="D946" s="1" t="s">
        <v>3360</v>
      </c>
      <c r="E946" s="1" t="s">
        <v>3326</v>
      </c>
      <c r="F946" s="1" t="s">
        <v>524</v>
      </c>
      <c r="G946" s="1">
        <v>37174</v>
      </c>
      <c r="H946" s="1" t="s">
        <v>525</v>
      </c>
    </row>
    <row r="947" spans="1:8" x14ac:dyDescent="0.35">
      <c r="A947" s="1" t="s">
        <v>3361</v>
      </c>
      <c r="B947" s="1" t="s">
        <v>3362</v>
      </c>
      <c r="C947" s="1" t="s">
        <v>521</v>
      </c>
      <c r="D947" s="1" t="s">
        <v>3363</v>
      </c>
      <c r="E947" s="1" t="s">
        <v>3364</v>
      </c>
      <c r="F947" s="1" t="s">
        <v>524</v>
      </c>
      <c r="G947" s="1">
        <v>37322</v>
      </c>
      <c r="H947" s="1" t="s">
        <v>525</v>
      </c>
    </row>
    <row r="948" spans="1:8" x14ac:dyDescent="0.35">
      <c r="A948" s="1" t="s">
        <v>3365</v>
      </c>
      <c r="B948" s="1" t="s">
        <v>3366</v>
      </c>
      <c r="C948" s="1" t="s">
        <v>521</v>
      </c>
      <c r="D948" s="1" t="s">
        <v>3367</v>
      </c>
      <c r="E948" s="1" t="s">
        <v>3364</v>
      </c>
      <c r="F948" s="1" t="s">
        <v>524</v>
      </c>
      <c r="G948" s="1">
        <v>37322</v>
      </c>
      <c r="H948" s="1" t="s">
        <v>525</v>
      </c>
    </row>
    <row r="949" spans="1:8" x14ac:dyDescent="0.35">
      <c r="A949" s="1" t="s">
        <v>3368</v>
      </c>
      <c r="B949" s="1" t="s">
        <v>3369</v>
      </c>
      <c r="C949" s="1" t="s">
        <v>521</v>
      </c>
      <c r="D949" s="1" t="s">
        <v>3370</v>
      </c>
      <c r="E949" s="1" t="s">
        <v>3364</v>
      </c>
      <c r="F949" s="1" t="s">
        <v>524</v>
      </c>
      <c r="G949" s="1">
        <v>37322</v>
      </c>
      <c r="H949" s="1" t="s">
        <v>525</v>
      </c>
    </row>
    <row r="950" spans="1:8" x14ac:dyDescent="0.35">
      <c r="A950" s="1" t="s">
        <v>295</v>
      </c>
      <c r="B950" s="1" t="s">
        <v>3371</v>
      </c>
      <c r="C950" s="1" t="s">
        <v>521</v>
      </c>
      <c r="D950" s="1" t="s">
        <v>3372</v>
      </c>
      <c r="E950" s="1" t="s">
        <v>3364</v>
      </c>
      <c r="F950" s="1" t="s">
        <v>524</v>
      </c>
      <c r="G950" s="1">
        <v>37322</v>
      </c>
      <c r="H950" s="1" t="s">
        <v>525</v>
      </c>
    </row>
    <row r="951" spans="1:8" x14ac:dyDescent="0.35">
      <c r="A951" s="1" t="s">
        <v>3373</v>
      </c>
      <c r="B951" s="1" t="s">
        <v>3374</v>
      </c>
      <c r="C951" s="1" t="s">
        <v>521</v>
      </c>
      <c r="D951" s="1" t="s">
        <v>3375</v>
      </c>
      <c r="E951" s="1" t="s">
        <v>3376</v>
      </c>
      <c r="F951" s="1" t="s">
        <v>524</v>
      </c>
      <c r="G951" s="1">
        <v>37385</v>
      </c>
      <c r="H951" s="1" t="s">
        <v>525</v>
      </c>
    </row>
    <row r="952" spans="1:8" x14ac:dyDescent="0.35">
      <c r="A952" s="1" t="s">
        <v>3377</v>
      </c>
      <c r="B952" s="1" t="s">
        <v>3378</v>
      </c>
      <c r="C952" s="1" t="s">
        <v>521</v>
      </c>
      <c r="D952" s="1" t="s">
        <v>3379</v>
      </c>
      <c r="E952" s="1" t="s">
        <v>3380</v>
      </c>
      <c r="F952" s="1" t="s">
        <v>524</v>
      </c>
      <c r="G952" s="1">
        <v>37354</v>
      </c>
      <c r="H952" s="1" t="s">
        <v>525</v>
      </c>
    </row>
    <row r="953" spans="1:8" x14ac:dyDescent="0.35">
      <c r="A953" s="1" t="s">
        <v>3381</v>
      </c>
      <c r="B953" s="1" t="s">
        <v>3382</v>
      </c>
      <c r="C953" s="1" t="s">
        <v>521</v>
      </c>
      <c r="D953" s="1" t="s">
        <v>3383</v>
      </c>
      <c r="E953" s="1" t="s">
        <v>3380</v>
      </c>
      <c r="F953" s="1" t="s">
        <v>524</v>
      </c>
      <c r="G953" s="1">
        <v>37354</v>
      </c>
      <c r="H953" s="1" t="s">
        <v>525</v>
      </c>
    </row>
    <row r="954" spans="1:8" x14ac:dyDescent="0.35">
      <c r="A954" s="1" t="s">
        <v>3384</v>
      </c>
      <c r="B954" s="1" t="s">
        <v>3385</v>
      </c>
      <c r="C954" s="1" t="s">
        <v>521</v>
      </c>
      <c r="D954" s="1" t="s">
        <v>3386</v>
      </c>
      <c r="E954" s="1" t="s">
        <v>3380</v>
      </c>
      <c r="F954" s="1" t="s">
        <v>524</v>
      </c>
      <c r="G954" s="1">
        <v>37354</v>
      </c>
      <c r="H954" s="1" t="s">
        <v>525</v>
      </c>
    </row>
    <row r="955" spans="1:8" x14ac:dyDescent="0.35">
      <c r="A955" s="1" t="s">
        <v>3387</v>
      </c>
      <c r="B955" s="1" t="s">
        <v>3388</v>
      </c>
      <c r="C955" s="1" t="s">
        <v>521</v>
      </c>
      <c r="D955" s="1" t="s">
        <v>3389</v>
      </c>
      <c r="E955" s="1" t="s">
        <v>3376</v>
      </c>
      <c r="F955" s="1" t="s">
        <v>524</v>
      </c>
      <c r="G955" s="1">
        <v>37385</v>
      </c>
      <c r="H955" s="1" t="s">
        <v>525</v>
      </c>
    </row>
    <row r="956" spans="1:8" x14ac:dyDescent="0.35">
      <c r="A956" s="1" t="s">
        <v>297</v>
      </c>
      <c r="B956" s="1" t="s">
        <v>2326</v>
      </c>
      <c r="C956" s="1" t="s">
        <v>521</v>
      </c>
      <c r="D956" s="1" t="s">
        <v>3390</v>
      </c>
      <c r="E956" s="1" t="s">
        <v>3380</v>
      </c>
      <c r="F956" s="1" t="s">
        <v>524</v>
      </c>
      <c r="G956" s="1">
        <v>37354</v>
      </c>
      <c r="H956" s="1" t="s">
        <v>525</v>
      </c>
    </row>
    <row r="957" spans="1:8" x14ac:dyDescent="0.35">
      <c r="A957" s="1" t="s">
        <v>299</v>
      </c>
      <c r="B957" s="1" t="s">
        <v>3391</v>
      </c>
      <c r="C957" s="1" t="s">
        <v>521</v>
      </c>
      <c r="D957" s="1" t="s">
        <v>3392</v>
      </c>
      <c r="E957" s="1" t="s">
        <v>3393</v>
      </c>
      <c r="F957" s="1" t="s">
        <v>524</v>
      </c>
      <c r="G957" s="1">
        <v>37874</v>
      </c>
      <c r="H957" s="1" t="s">
        <v>525</v>
      </c>
    </row>
    <row r="958" spans="1:8" x14ac:dyDescent="0.35">
      <c r="A958" s="1" t="s">
        <v>3394</v>
      </c>
      <c r="B958" s="1" t="s">
        <v>3395</v>
      </c>
      <c r="C958" s="1" t="s">
        <v>521</v>
      </c>
      <c r="D958" s="1" t="s">
        <v>3396</v>
      </c>
      <c r="E958" s="1" t="s">
        <v>3376</v>
      </c>
      <c r="F958" s="1" t="s">
        <v>524</v>
      </c>
      <c r="G958" s="1">
        <v>37385</v>
      </c>
      <c r="H958" s="1" t="s">
        <v>525</v>
      </c>
    </row>
    <row r="959" spans="1:8" x14ac:dyDescent="0.35">
      <c r="A959" s="1" t="s">
        <v>300</v>
      </c>
      <c r="B959" s="1" t="s">
        <v>3397</v>
      </c>
      <c r="C959" s="1" t="s">
        <v>521</v>
      </c>
      <c r="D959" s="1" t="s">
        <v>3398</v>
      </c>
      <c r="E959" s="1" t="s">
        <v>3376</v>
      </c>
      <c r="F959" s="1" t="s">
        <v>524</v>
      </c>
      <c r="G959" s="1">
        <v>37385</v>
      </c>
      <c r="H959" s="1" t="s">
        <v>525</v>
      </c>
    </row>
    <row r="960" spans="1:8" x14ac:dyDescent="0.35">
      <c r="A960" s="1" t="s">
        <v>3399</v>
      </c>
      <c r="B960" s="1" t="s">
        <v>3400</v>
      </c>
      <c r="C960" s="1" t="s">
        <v>521</v>
      </c>
      <c r="D960" s="1" t="s">
        <v>3401</v>
      </c>
      <c r="E960" s="1" t="s">
        <v>3376</v>
      </c>
      <c r="F960" s="1" t="s">
        <v>524</v>
      </c>
      <c r="G960" s="1">
        <v>37385</v>
      </c>
      <c r="H960" s="1" t="s">
        <v>525</v>
      </c>
    </row>
    <row r="961" spans="1:8" x14ac:dyDescent="0.35">
      <c r="A961" s="1" t="s">
        <v>3402</v>
      </c>
      <c r="B961" s="1" t="s">
        <v>3403</v>
      </c>
      <c r="C961" s="1" t="s">
        <v>521</v>
      </c>
      <c r="D961" s="1" t="s">
        <v>3404</v>
      </c>
      <c r="E961" s="1" t="s">
        <v>3405</v>
      </c>
      <c r="F961" s="1" t="s">
        <v>524</v>
      </c>
      <c r="G961" s="1">
        <v>37885</v>
      </c>
      <c r="H961" s="1" t="s">
        <v>525</v>
      </c>
    </row>
    <row r="962" spans="1:8" x14ac:dyDescent="0.35">
      <c r="A962" s="1" t="s">
        <v>3406</v>
      </c>
      <c r="B962" s="1" t="s">
        <v>3407</v>
      </c>
      <c r="C962" s="1" t="s">
        <v>521</v>
      </c>
      <c r="D962" s="1" t="s">
        <v>3408</v>
      </c>
      <c r="E962" s="1" t="s">
        <v>3405</v>
      </c>
      <c r="F962" s="1" t="s">
        <v>524</v>
      </c>
      <c r="G962" s="1">
        <v>37885</v>
      </c>
      <c r="H962" s="1" t="s">
        <v>525</v>
      </c>
    </row>
    <row r="963" spans="1:8" x14ac:dyDescent="0.35">
      <c r="A963" s="1" t="s">
        <v>3409</v>
      </c>
      <c r="B963" s="1" t="s">
        <v>3410</v>
      </c>
      <c r="C963" s="1" t="s">
        <v>521</v>
      </c>
      <c r="D963" s="1" t="s">
        <v>3411</v>
      </c>
      <c r="E963" s="1" t="s">
        <v>3393</v>
      </c>
      <c r="F963" s="1" t="s">
        <v>524</v>
      </c>
      <c r="G963" s="1">
        <v>37874</v>
      </c>
      <c r="H963" s="1" t="s">
        <v>525</v>
      </c>
    </row>
    <row r="964" spans="1:8" x14ac:dyDescent="0.35">
      <c r="A964" s="1" t="s">
        <v>3412</v>
      </c>
      <c r="B964" s="1" t="s">
        <v>3413</v>
      </c>
      <c r="C964" s="1" t="s">
        <v>521</v>
      </c>
      <c r="D964" s="1" t="s">
        <v>3414</v>
      </c>
      <c r="E964" s="1" t="s">
        <v>3393</v>
      </c>
      <c r="F964" s="1" t="s">
        <v>524</v>
      </c>
      <c r="G964" s="1">
        <v>37874</v>
      </c>
      <c r="H964" s="1" t="s">
        <v>525</v>
      </c>
    </row>
    <row r="965" spans="1:8" x14ac:dyDescent="0.35">
      <c r="A965" s="1" t="s">
        <v>3415</v>
      </c>
      <c r="B965" s="1" t="s">
        <v>3416</v>
      </c>
      <c r="C965" s="1" t="s">
        <v>521</v>
      </c>
      <c r="D965" s="1" t="s">
        <v>3417</v>
      </c>
      <c r="E965" s="1" t="s">
        <v>3393</v>
      </c>
      <c r="F965" s="1" t="s">
        <v>524</v>
      </c>
      <c r="G965" s="1">
        <v>37874</v>
      </c>
      <c r="H965" s="1" t="s">
        <v>525</v>
      </c>
    </row>
    <row r="966" spans="1:8" x14ac:dyDescent="0.35">
      <c r="A966" s="1" t="s">
        <v>3418</v>
      </c>
      <c r="B966" s="1" t="s">
        <v>3419</v>
      </c>
      <c r="C966" s="1" t="s">
        <v>521</v>
      </c>
      <c r="D966" s="1" t="s">
        <v>3420</v>
      </c>
      <c r="E966" s="1" t="s">
        <v>3393</v>
      </c>
      <c r="F966" s="1" t="s">
        <v>524</v>
      </c>
      <c r="G966" s="1">
        <v>37874</v>
      </c>
      <c r="H966" s="1" t="s">
        <v>525</v>
      </c>
    </row>
    <row r="967" spans="1:8" x14ac:dyDescent="0.35">
      <c r="A967" s="1" t="s">
        <v>3421</v>
      </c>
      <c r="B967" s="1" t="s">
        <v>3422</v>
      </c>
      <c r="C967" s="1" t="s">
        <v>521</v>
      </c>
      <c r="D967" s="1" t="s">
        <v>3423</v>
      </c>
      <c r="E967" s="1" t="s">
        <v>3424</v>
      </c>
      <c r="F967" s="1" t="s">
        <v>524</v>
      </c>
      <c r="G967" s="1">
        <v>37042</v>
      </c>
      <c r="H967" s="1" t="s">
        <v>525</v>
      </c>
    </row>
    <row r="968" spans="1:8" x14ac:dyDescent="0.35">
      <c r="A968" s="1" t="s">
        <v>3425</v>
      </c>
      <c r="B968" s="1" t="s">
        <v>3426</v>
      </c>
      <c r="C968" s="1" t="s">
        <v>521</v>
      </c>
      <c r="D968" s="1" t="s">
        <v>3427</v>
      </c>
      <c r="E968" s="1" t="s">
        <v>3424</v>
      </c>
      <c r="F968" s="1" t="s">
        <v>524</v>
      </c>
      <c r="G968" s="1">
        <v>37043</v>
      </c>
      <c r="H968" s="1" t="s">
        <v>525</v>
      </c>
    </row>
    <row r="969" spans="1:8" x14ac:dyDescent="0.35">
      <c r="A969" s="1" t="s">
        <v>3428</v>
      </c>
      <c r="B969" s="1" t="s">
        <v>3429</v>
      </c>
      <c r="C969" s="1" t="s">
        <v>521</v>
      </c>
      <c r="D969" s="1" t="s">
        <v>3430</v>
      </c>
      <c r="E969" s="1" t="s">
        <v>3424</v>
      </c>
      <c r="F969" s="1" t="s">
        <v>524</v>
      </c>
      <c r="G969" s="1">
        <v>37040</v>
      </c>
      <c r="H969" s="1" t="s">
        <v>525</v>
      </c>
    </row>
    <row r="970" spans="1:8" x14ac:dyDescent="0.35">
      <c r="A970" s="1" t="s">
        <v>3431</v>
      </c>
      <c r="B970" s="1" t="s">
        <v>3432</v>
      </c>
      <c r="C970" s="1" t="s">
        <v>521</v>
      </c>
      <c r="D970" s="1" t="s">
        <v>3433</v>
      </c>
      <c r="E970" s="1" t="s">
        <v>3424</v>
      </c>
      <c r="F970" s="1" t="s">
        <v>524</v>
      </c>
      <c r="G970" s="1">
        <v>37042</v>
      </c>
      <c r="H970" s="1" t="s">
        <v>525</v>
      </c>
    </row>
    <row r="971" spans="1:8" x14ac:dyDescent="0.35">
      <c r="A971" s="1" t="s">
        <v>3434</v>
      </c>
      <c r="B971" s="1" t="s">
        <v>3435</v>
      </c>
      <c r="C971" s="1" t="s">
        <v>521</v>
      </c>
      <c r="D971" s="1" t="s">
        <v>3436</v>
      </c>
      <c r="E971" s="1" t="s">
        <v>3424</v>
      </c>
      <c r="F971" s="1" t="s">
        <v>524</v>
      </c>
      <c r="G971" s="1">
        <v>37042</v>
      </c>
      <c r="H971" s="1" t="s">
        <v>525</v>
      </c>
    </row>
    <row r="972" spans="1:8" x14ac:dyDescent="0.35">
      <c r="A972" s="1" t="s">
        <v>3437</v>
      </c>
      <c r="B972" s="1" t="s">
        <v>3438</v>
      </c>
      <c r="C972" s="1" t="s">
        <v>521</v>
      </c>
      <c r="D972" s="1" t="s">
        <v>3439</v>
      </c>
      <c r="E972" s="1" t="s">
        <v>3424</v>
      </c>
      <c r="F972" s="1" t="s">
        <v>524</v>
      </c>
      <c r="G972" s="1">
        <v>37042</v>
      </c>
      <c r="H972" s="1" t="s">
        <v>525</v>
      </c>
    </row>
    <row r="973" spans="1:8" x14ac:dyDescent="0.35">
      <c r="A973" s="1" t="s">
        <v>301</v>
      </c>
      <c r="B973" s="1" t="s">
        <v>3440</v>
      </c>
      <c r="C973" s="1" t="s">
        <v>521</v>
      </c>
      <c r="D973" s="1" t="s">
        <v>3441</v>
      </c>
      <c r="E973" s="1" t="s">
        <v>3424</v>
      </c>
      <c r="F973" s="1" t="s">
        <v>524</v>
      </c>
      <c r="G973" s="1">
        <v>37042</v>
      </c>
      <c r="H973" s="1" t="s">
        <v>525</v>
      </c>
    </row>
    <row r="974" spans="1:8" x14ac:dyDescent="0.35">
      <c r="A974" s="1" t="s">
        <v>3442</v>
      </c>
      <c r="B974" s="1" t="s">
        <v>3443</v>
      </c>
      <c r="C974" s="1" t="s">
        <v>521</v>
      </c>
      <c r="D974" s="1" t="s">
        <v>3444</v>
      </c>
      <c r="E974" s="1" t="s">
        <v>3445</v>
      </c>
      <c r="F974" s="1" t="s">
        <v>524</v>
      </c>
      <c r="G974" s="1">
        <v>37052</v>
      </c>
      <c r="H974" s="1" t="s">
        <v>525</v>
      </c>
    </row>
    <row r="975" spans="1:8" x14ac:dyDescent="0.35">
      <c r="A975" s="1" t="s">
        <v>303</v>
      </c>
      <c r="B975" s="1" t="s">
        <v>3446</v>
      </c>
      <c r="C975" s="1" t="s">
        <v>521</v>
      </c>
      <c r="D975" s="1" t="s">
        <v>3447</v>
      </c>
      <c r="E975" s="1" t="s">
        <v>3445</v>
      </c>
      <c r="F975" s="1" t="s">
        <v>524</v>
      </c>
      <c r="G975" s="1">
        <v>37052</v>
      </c>
      <c r="H975" s="1" t="s">
        <v>525</v>
      </c>
    </row>
    <row r="976" spans="1:8" x14ac:dyDescent="0.35">
      <c r="A976" s="1" t="s">
        <v>3448</v>
      </c>
      <c r="B976" s="1" t="s">
        <v>3449</v>
      </c>
      <c r="C976" s="1" t="s">
        <v>521</v>
      </c>
      <c r="D976" s="1" t="s">
        <v>3450</v>
      </c>
      <c r="E976" s="1" t="s">
        <v>3424</v>
      </c>
      <c r="F976" s="1" t="s">
        <v>524</v>
      </c>
      <c r="G976" s="1">
        <v>37042</v>
      </c>
      <c r="H976" s="1" t="s">
        <v>525</v>
      </c>
    </row>
    <row r="977" spans="1:8" x14ac:dyDescent="0.35">
      <c r="A977" s="1" t="s">
        <v>304</v>
      </c>
      <c r="B977" s="1" t="s">
        <v>3451</v>
      </c>
      <c r="C977" s="1" t="s">
        <v>521</v>
      </c>
      <c r="D977" s="1" t="s">
        <v>3452</v>
      </c>
      <c r="E977" s="1" t="s">
        <v>3424</v>
      </c>
      <c r="F977" s="1" t="s">
        <v>524</v>
      </c>
      <c r="G977" s="1">
        <v>37043</v>
      </c>
      <c r="H977" s="1" t="s">
        <v>525</v>
      </c>
    </row>
    <row r="978" spans="1:8" x14ac:dyDescent="0.35">
      <c r="A978" s="1" t="s">
        <v>3453</v>
      </c>
      <c r="B978" s="1" t="s">
        <v>3454</v>
      </c>
      <c r="C978" s="1" t="s">
        <v>521</v>
      </c>
      <c r="D978" s="1" t="s">
        <v>3455</v>
      </c>
      <c r="E978" s="1" t="s">
        <v>3424</v>
      </c>
      <c r="F978" s="1" t="s">
        <v>524</v>
      </c>
      <c r="G978" s="1">
        <v>37040</v>
      </c>
      <c r="H978" s="1" t="s">
        <v>525</v>
      </c>
    </row>
    <row r="979" spans="1:8" x14ac:dyDescent="0.35">
      <c r="A979" s="1" t="s">
        <v>3456</v>
      </c>
      <c r="B979" s="1" t="s">
        <v>3457</v>
      </c>
      <c r="C979" s="1" t="s">
        <v>521</v>
      </c>
      <c r="D979" s="1" t="s">
        <v>3458</v>
      </c>
      <c r="E979" s="1" t="s">
        <v>3424</v>
      </c>
      <c r="F979" s="1" t="s">
        <v>524</v>
      </c>
      <c r="G979" s="1">
        <v>37040</v>
      </c>
      <c r="H979" s="1" t="s">
        <v>525</v>
      </c>
    </row>
    <row r="980" spans="1:8" x14ac:dyDescent="0.35">
      <c r="A980" s="1" t="s">
        <v>3459</v>
      </c>
      <c r="B980" s="1" t="s">
        <v>3460</v>
      </c>
      <c r="C980" s="1" t="s">
        <v>521</v>
      </c>
      <c r="D980" s="1" t="s">
        <v>3461</v>
      </c>
      <c r="E980" s="1" t="s">
        <v>3424</v>
      </c>
      <c r="F980" s="1" t="s">
        <v>524</v>
      </c>
      <c r="G980" s="1">
        <v>37043</v>
      </c>
      <c r="H980" s="1" t="s">
        <v>525</v>
      </c>
    </row>
    <row r="981" spans="1:8" x14ac:dyDescent="0.35">
      <c r="A981" s="1" t="s">
        <v>3462</v>
      </c>
      <c r="B981" s="1" t="s">
        <v>640</v>
      </c>
      <c r="C981" s="1" t="s">
        <v>521</v>
      </c>
      <c r="D981" s="1" t="s">
        <v>3463</v>
      </c>
      <c r="E981" s="1" t="s">
        <v>3424</v>
      </c>
      <c r="F981" s="1" t="s">
        <v>524</v>
      </c>
      <c r="G981" s="1">
        <v>37042</v>
      </c>
      <c r="H981" s="1" t="s">
        <v>525</v>
      </c>
    </row>
    <row r="982" spans="1:8" x14ac:dyDescent="0.35">
      <c r="A982" s="1" t="s">
        <v>3464</v>
      </c>
      <c r="B982" s="1" t="s">
        <v>3465</v>
      </c>
      <c r="C982" s="1" t="s">
        <v>521</v>
      </c>
      <c r="D982" s="1" t="s">
        <v>3466</v>
      </c>
      <c r="E982" s="1" t="s">
        <v>3424</v>
      </c>
      <c r="F982" s="1" t="s">
        <v>524</v>
      </c>
      <c r="G982" s="1">
        <v>37042</v>
      </c>
      <c r="H982" s="1" t="s">
        <v>525</v>
      </c>
    </row>
    <row r="983" spans="1:8" x14ac:dyDescent="0.35">
      <c r="A983" s="1" t="s">
        <v>3467</v>
      </c>
      <c r="B983" s="1" t="s">
        <v>3468</v>
      </c>
      <c r="C983" s="1" t="s">
        <v>521</v>
      </c>
      <c r="D983" s="1" t="s">
        <v>3469</v>
      </c>
      <c r="E983" s="1" t="s">
        <v>3445</v>
      </c>
      <c r="F983" s="1" t="s">
        <v>524</v>
      </c>
      <c r="G983" s="1">
        <v>37052</v>
      </c>
      <c r="H983" s="1" t="s">
        <v>525</v>
      </c>
    </row>
    <row r="984" spans="1:8" x14ac:dyDescent="0.35">
      <c r="A984" s="1" t="s">
        <v>3470</v>
      </c>
      <c r="B984" s="1" t="s">
        <v>3471</v>
      </c>
      <c r="C984" s="1" t="s">
        <v>521</v>
      </c>
      <c r="D984" s="1" t="s">
        <v>3472</v>
      </c>
      <c r="E984" s="1" t="s">
        <v>3424</v>
      </c>
      <c r="F984" s="1" t="s">
        <v>524</v>
      </c>
      <c r="G984" s="1">
        <v>37040</v>
      </c>
      <c r="H984" s="1" t="s">
        <v>525</v>
      </c>
    </row>
    <row r="985" spans="1:8" x14ac:dyDescent="0.35">
      <c r="A985" s="1" t="s">
        <v>3473</v>
      </c>
      <c r="B985" s="1" t="s">
        <v>3474</v>
      </c>
      <c r="C985" s="1" t="s">
        <v>521</v>
      </c>
      <c r="D985" s="1" t="s">
        <v>3475</v>
      </c>
      <c r="E985" s="1" t="s">
        <v>3424</v>
      </c>
      <c r="F985" s="1" t="s">
        <v>524</v>
      </c>
      <c r="G985" s="1">
        <v>37040</v>
      </c>
      <c r="H985" s="1" t="s">
        <v>525</v>
      </c>
    </row>
    <row r="986" spans="1:8" x14ac:dyDescent="0.35">
      <c r="A986" s="1" t="s">
        <v>3476</v>
      </c>
      <c r="B986" s="1" t="s">
        <v>3477</v>
      </c>
      <c r="C986" s="1" t="s">
        <v>521</v>
      </c>
      <c r="D986" s="1" t="s">
        <v>3478</v>
      </c>
      <c r="E986" s="1" t="s">
        <v>3424</v>
      </c>
      <c r="F986" s="1" t="s">
        <v>524</v>
      </c>
      <c r="G986" s="1">
        <v>37042</v>
      </c>
      <c r="H986" s="1" t="s">
        <v>525</v>
      </c>
    </row>
    <row r="987" spans="1:8" x14ac:dyDescent="0.35">
      <c r="A987" s="1" t="s">
        <v>3479</v>
      </c>
      <c r="B987" s="1" t="s">
        <v>3480</v>
      </c>
      <c r="C987" s="1" t="s">
        <v>521</v>
      </c>
      <c r="D987" s="1" t="s">
        <v>3481</v>
      </c>
      <c r="E987" s="1" t="s">
        <v>3424</v>
      </c>
      <c r="F987" s="1" t="s">
        <v>524</v>
      </c>
      <c r="G987" s="1">
        <v>37040</v>
      </c>
      <c r="H987" s="1" t="s">
        <v>525</v>
      </c>
    </row>
    <row r="988" spans="1:8" x14ac:dyDescent="0.35">
      <c r="A988" s="1" t="s">
        <v>3482</v>
      </c>
      <c r="B988" s="1" t="s">
        <v>3483</v>
      </c>
      <c r="C988" s="1" t="s">
        <v>521</v>
      </c>
      <c r="D988" s="1" t="s">
        <v>3484</v>
      </c>
      <c r="E988" s="1" t="s">
        <v>3424</v>
      </c>
      <c r="F988" s="1" t="s">
        <v>524</v>
      </c>
      <c r="G988" s="1">
        <v>37040</v>
      </c>
      <c r="H988" s="1" t="s">
        <v>525</v>
      </c>
    </row>
    <row r="989" spans="1:8" x14ac:dyDescent="0.35">
      <c r="A989" s="1" t="s">
        <v>305</v>
      </c>
      <c r="B989" s="1" t="s">
        <v>3485</v>
      </c>
      <c r="C989" s="1" t="s">
        <v>521</v>
      </c>
      <c r="D989" s="1" t="s">
        <v>3486</v>
      </c>
      <c r="E989" s="1" t="s">
        <v>3424</v>
      </c>
      <c r="F989" s="1" t="s">
        <v>524</v>
      </c>
      <c r="G989" s="1">
        <v>37040</v>
      </c>
      <c r="H989" s="1" t="s">
        <v>525</v>
      </c>
    </row>
    <row r="990" spans="1:8" x14ac:dyDescent="0.35">
      <c r="A990" s="1" t="s">
        <v>306</v>
      </c>
      <c r="B990" s="1" t="s">
        <v>3487</v>
      </c>
      <c r="C990" s="1" t="s">
        <v>521</v>
      </c>
      <c r="D990" s="1" t="s">
        <v>3488</v>
      </c>
      <c r="E990" s="1" t="s">
        <v>3424</v>
      </c>
      <c r="F990" s="1" t="s">
        <v>524</v>
      </c>
      <c r="G990" s="1">
        <v>37042</v>
      </c>
      <c r="H990" s="1" t="s">
        <v>525</v>
      </c>
    </row>
    <row r="991" spans="1:8" x14ac:dyDescent="0.35">
      <c r="A991" s="1" t="s">
        <v>3489</v>
      </c>
      <c r="B991" s="1" t="s">
        <v>3490</v>
      </c>
      <c r="C991" s="1" t="s">
        <v>521</v>
      </c>
      <c r="D991" s="1" t="s">
        <v>3491</v>
      </c>
      <c r="E991" s="1" t="s">
        <v>3424</v>
      </c>
      <c r="F991" s="1" t="s">
        <v>524</v>
      </c>
      <c r="G991" s="1">
        <v>37043</v>
      </c>
      <c r="H991" s="1" t="s">
        <v>525</v>
      </c>
    </row>
    <row r="992" spans="1:8" x14ac:dyDescent="0.35">
      <c r="A992" s="1" t="s">
        <v>3492</v>
      </c>
      <c r="B992" s="1" t="s">
        <v>3493</v>
      </c>
      <c r="C992" s="1" t="s">
        <v>521</v>
      </c>
      <c r="D992" s="1" t="s">
        <v>3494</v>
      </c>
      <c r="E992" s="1" t="s">
        <v>3424</v>
      </c>
      <c r="F992" s="1" t="s">
        <v>524</v>
      </c>
      <c r="G992" s="1">
        <v>37042</v>
      </c>
      <c r="H992" s="1" t="s">
        <v>525</v>
      </c>
    </row>
    <row r="993" spans="1:8" x14ac:dyDescent="0.35">
      <c r="A993" s="1" t="s">
        <v>3495</v>
      </c>
      <c r="B993" s="1" t="s">
        <v>3496</v>
      </c>
      <c r="C993" s="1" t="s">
        <v>521</v>
      </c>
      <c r="D993" s="1" t="s">
        <v>3497</v>
      </c>
      <c r="E993" s="1" t="s">
        <v>3424</v>
      </c>
      <c r="F993" s="1" t="s">
        <v>524</v>
      </c>
      <c r="G993" s="1">
        <v>37043</v>
      </c>
      <c r="H993" s="1" t="s">
        <v>525</v>
      </c>
    </row>
    <row r="994" spans="1:8" x14ac:dyDescent="0.35">
      <c r="A994" s="1" t="s">
        <v>307</v>
      </c>
      <c r="B994" s="1" t="s">
        <v>3498</v>
      </c>
      <c r="C994" s="1" t="s">
        <v>521</v>
      </c>
      <c r="D994" s="1" t="s">
        <v>3499</v>
      </c>
      <c r="E994" s="1" t="s">
        <v>3424</v>
      </c>
      <c r="F994" s="1" t="s">
        <v>524</v>
      </c>
      <c r="G994" s="1">
        <v>37043</v>
      </c>
      <c r="H994" s="1" t="s">
        <v>525</v>
      </c>
    </row>
    <row r="995" spans="1:8" x14ac:dyDescent="0.35">
      <c r="A995" s="1" t="s">
        <v>3500</v>
      </c>
      <c r="B995" s="1" t="s">
        <v>3501</v>
      </c>
      <c r="C995" s="1" t="s">
        <v>521</v>
      </c>
      <c r="D995" s="1" t="s">
        <v>3502</v>
      </c>
      <c r="E995" s="1" t="s">
        <v>3424</v>
      </c>
      <c r="F995" s="1" t="s">
        <v>524</v>
      </c>
      <c r="G995" s="1">
        <v>37040</v>
      </c>
      <c r="H995" s="1" t="s">
        <v>525</v>
      </c>
    </row>
    <row r="996" spans="1:8" x14ac:dyDescent="0.35">
      <c r="A996" s="1" t="s">
        <v>3503</v>
      </c>
      <c r="B996" s="1" t="s">
        <v>3504</v>
      </c>
      <c r="C996" s="1" t="s">
        <v>521</v>
      </c>
      <c r="D996" s="1" t="s">
        <v>3505</v>
      </c>
      <c r="E996" s="1" t="s">
        <v>3424</v>
      </c>
      <c r="F996" s="1" t="s">
        <v>524</v>
      </c>
      <c r="G996" s="1">
        <v>37043</v>
      </c>
      <c r="H996" s="1" t="s">
        <v>525</v>
      </c>
    </row>
    <row r="997" spans="1:8" x14ac:dyDescent="0.35">
      <c r="A997" s="1" t="s">
        <v>3506</v>
      </c>
      <c r="B997" s="1" t="s">
        <v>3507</v>
      </c>
      <c r="C997" s="1" t="s">
        <v>521</v>
      </c>
      <c r="D997" s="1" t="s">
        <v>3508</v>
      </c>
      <c r="E997" s="1" t="s">
        <v>3424</v>
      </c>
      <c r="F997" s="1" t="s">
        <v>524</v>
      </c>
      <c r="G997" s="1">
        <v>37042</v>
      </c>
      <c r="H997" s="1" t="s">
        <v>525</v>
      </c>
    </row>
    <row r="998" spans="1:8" x14ac:dyDescent="0.35">
      <c r="A998" s="1" t="s">
        <v>3509</v>
      </c>
      <c r="B998" s="1" t="s">
        <v>3510</v>
      </c>
      <c r="C998" s="1" t="s">
        <v>521</v>
      </c>
      <c r="D998" s="1" t="s">
        <v>3511</v>
      </c>
      <c r="E998" s="1" t="s">
        <v>3512</v>
      </c>
      <c r="F998" s="1" t="s">
        <v>524</v>
      </c>
      <c r="G998" s="1">
        <v>37191</v>
      </c>
      <c r="H998" s="1" t="s">
        <v>525</v>
      </c>
    </row>
    <row r="999" spans="1:8" x14ac:dyDescent="0.35">
      <c r="A999" s="1" t="s">
        <v>308</v>
      </c>
      <c r="B999" s="1" t="s">
        <v>3513</v>
      </c>
      <c r="C999" s="1" t="s">
        <v>521</v>
      </c>
      <c r="D999" s="1" t="s">
        <v>3514</v>
      </c>
      <c r="E999" s="1" t="s">
        <v>3424</v>
      </c>
      <c r="F999" s="1" t="s">
        <v>524</v>
      </c>
      <c r="G999" s="1">
        <v>37044</v>
      </c>
      <c r="H999" s="1" t="s">
        <v>525</v>
      </c>
    </row>
    <row r="1000" spans="1:8" x14ac:dyDescent="0.35">
      <c r="A1000" s="1" t="s">
        <v>3515</v>
      </c>
      <c r="B1000" s="1" t="s">
        <v>3516</v>
      </c>
      <c r="C1000" s="1" t="s">
        <v>521</v>
      </c>
      <c r="D1000" s="1" t="s">
        <v>3517</v>
      </c>
      <c r="E1000" s="1" t="s">
        <v>3424</v>
      </c>
      <c r="F1000" s="1" t="s">
        <v>524</v>
      </c>
      <c r="G1000" s="1">
        <v>37042</v>
      </c>
      <c r="H1000" s="1" t="s">
        <v>525</v>
      </c>
    </row>
    <row r="1001" spans="1:8" x14ac:dyDescent="0.35">
      <c r="A1001" s="1" t="s">
        <v>3518</v>
      </c>
      <c r="B1001" s="1" t="s">
        <v>3519</v>
      </c>
      <c r="C1001" s="1" t="s">
        <v>521</v>
      </c>
      <c r="D1001" s="1" t="s">
        <v>3520</v>
      </c>
      <c r="E1001" s="1" t="s">
        <v>3424</v>
      </c>
      <c r="F1001" s="1" t="s">
        <v>524</v>
      </c>
      <c r="G1001" s="1">
        <v>37043</v>
      </c>
      <c r="H1001" s="1" t="s">
        <v>525</v>
      </c>
    </row>
    <row r="1002" spans="1:8" x14ac:dyDescent="0.35">
      <c r="A1002" s="1" t="s">
        <v>309</v>
      </c>
      <c r="B1002" s="1" t="s">
        <v>3521</v>
      </c>
      <c r="C1002" s="1" t="s">
        <v>521</v>
      </c>
      <c r="D1002" s="1" t="s">
        <v>3522</v>
      </c>
      <c r="E1002" s="1" t="s">
        <v>3424</v>
      </c>
      <c r="F1002" s="1" t="s">
        <v>524</v>
      </c>
      <c r="G1002" s="1">
        <v>37042</v>
      </c>
      <c r="H1002" s="1" t="s">
        <v>525</v>
      </c>
    </row>
    <row r="1003" spans="1:8" x14ac:dyDescent="0.35">
      <c r="A1003" s="1" t="s">
        <v>3523</v>
      </c>
      <c r="B1003" s="1" t="s">
        <v>3524</v>
      </c>
      <c r="C1003" s="1" t="s">
        <v>521</v>
      </c>
      <c r="D1003" s="1" t="s">
        <v>3525</v>
      </c>
      <c r="E1003" s="1" t="s">
        <v>3424</v>
      </c>
      <c r="F1003" s="1" t="s">
        <v>524</v>
      </c>
      <c r="G1003" s="1">
        <v>37043</v>
      </c>
      <c r="H1003" s="1" t="s">
        <v>525</v>
      </c>
    </row>
    <row r="1004" spans="1:8" x14ac:dyDescent="0.35">
      <c r="A1004" s="1" t="s">
        <v>3526</v>
      </c>
      <c r="B1004" s="1" t="s">
        <v>3527</v>
      </c>
      <c r="C1004" s="1" t="s">
        <v>521</v>
      </c>
      <c r="D1004" s="1" t="s">
        <v>3528</v>
      </c>
      <c r="E1004" s="1" t="s">
        <v>3424</v>
      </c>
      <c r="F1004" s="1" t="s">
        <v>524</v>
      </c>
      <c r="G1004" s="1">
        <v>37042</v>
      </c>
      <c r="H1004" s="1" t="s">
        <v>525</v>
      </c>
    </row>
    <row r="1005" spans="1:8" x14ac:dyDescent="0.35">
      <c r="A1005" s="1" t="s">
        <v>3529</v>
      </c>
      <c r="B1005" s="1" t="s">
        <v>1845</v>
      </c>
      <c r="C1005" s="1" t="s">
        <v>521</v>
      </c>
      <c r="D1005" s="1" t="s">
        <v>3530</v>
      </c>
      <c r="E1005" s="1" t="s">
        <v>3424</v>
      </c>
      <c r="F1005" s="1" t="s">
        <v>524</v>
      </c>
      <c r="G1005" s="1">
        <v>37040</v>
      </c>
      <c r="H1005" s="1" t="s">
        <v>525</v>
      </c>
    </row>
    <row r="1006" spans="1:8" x14ac:dyDescent="0.35">
      <c r="A1006" s="1" t="s">
        <v>3531</v>
      </c>
      <c r="B1006" s="1" t="s">
        <v>3532</v>
      </c>
      <c r="C1006" s="1" t="s">
        <v>521</v>
      </c>
      <c r="D1006" s="1" t="s">
        <v>3533</v>
      </c>
      <c r="E1006" s="1" t="s">
        <v>3534</v>
      </c>
      <c r="F1006" s="1" t="s">
        <v>524</v>
      </c>
      <c r="G1006" s="1">
        <v>37352</v>
      </c>
      <c r="H1006" s="1" t="s">
        <v>525</v>
      </c>
    </row>
    <row r="1007" spans="1:8" x14ac:dyDescent="0.35">
      <c r="A1007" s="1" t="s">
        <v>310</v>
      </c>
      <c r="B1007" s="1" t="s">
        <v>3535</v>
      </c>
      <c r="C1007" s="1" t="s">
        <v>521</v>
      </c>
      <c r="D1007" s="1" t="s">
        <v>3536</v>
      </c>
      <c r="E1007" s="1" t="s">
        <v>3534</v>
      </c>
      <c r="F1007" s="1" t="s">
        <v>524</v>
      </c>
      <c r="G1007" s="1">
        <v>37352</v>
      </c>
      <c r="H1007" s="1" t="s">
        <v>525</v>
      </c>
    </row>
    <row r="1008" spans="1:8" x14ac:dyDescent="0.35">
      <c r="A1008" s="1" t="s">
        <v>3537</v>
      </c>
      <c r="B1008" s="1" t="s">
        <v>912</v>
      </c>
      <c r="C1008" s="1" t="s">
        <v>521</v>
      </c>
      <c r="D1008" s="1" t="s">
        <v>3538</v>
      </c>
      <c r="E1008" s="1" t="s">
        <v>3539</v>
      </c>
      <c r="F1008" s="1" t="s">
        <v>524</v>
      </c>
      <c r="G1008" s="1">
        <v>37887</v>
      </c>
      <c r="H1008" s="1" t="s">
        <v>525</v>
      </c>
    </row>
    <row r="1009" spans="1:8" x14ac:dyDescent="0.35">
      <c r="A1009" s="1" t="s">
        <v>3540</v>
      </c>
      <c r="B1009" s="1" t="s">
        <v>3541</v>
      </c>
      <c r="C1009" s="1" t="s">
        <v>521</v>
      </c>
      <c r="D1009" s="1" t="s">
        <v>3542</v>
      </c>
      <c r="E1009" s="1" t="s">
        <v>3539</v>
      </c>
      <c r="F1009" s="1" t="s">
        <v>524</v>
      </c>
      <c r="G1009" s="1">
        <v>37887</v>
      </c>
      <c r="H1009" s="1" t="s">
        <v>525</v>
      </c>
    </row>
    <row r="1010" spans="1:8" x14ac:dyDescent="0.35">
      <c r="A1010" s="1" t="s">
        <v>312</v>
      </c>
      <c r="B1010" s="1" t="s">
        <v>915</v>
      </c>
      <c r="C1010" s="1" t="s">
        <v>521</v>
      </c>
      <c r="D1010" s="1" t="s">
        <v>3543</v>
      </c>
      <c r="E1010" s="1" t="s">
        <v>3539</v>
      </c>
      <c r="F1010" s="1" t="s">
        <v>524</v>
      </c>
      <c r="G1010" s="1">
        <v>37887</v>
      </c>
      <c r="H1010" s="1" t="s">
        <v>525</v>
      </c>
    </row>
    <row r="1011" spans="1:8" x14ac:dyDescent="0.35">
      <c r="A1011" s="1" t="s">
        <v>314</v>
      </c>
      <c r="B1011" s="1" t="s">
        <v>3544</v>
      </c>
      <c r="C1011" s="1" t="s">
        <v>521</v>
      </c>
      <c r="D1011" s="1" t="s">
        <v>3545</v>
      </c>
      <c r="E1011" s="1" t="s">
        <v>3546</v>
      </c>
      <c r="F1011" s="1" t="s">
        <v>524</v>
      </c>
      <c r="G1011" s="1">
        <v>37719</v>
      </c>
      <c r="H1011" s="1" t="s">
        <v>525</v>
      </c>
    </row>
    <row r="1012" spans="1:8" x14ac:dyDescent="0.35">
      <c r="A1012" s="1" t="s">
        <v>315</v>
      </c>
      <c r="B1012" s="1" t="s">
        <v>3547</v>
      </c>
      <c r="C1012" s="1" t="s">
        <v>521</v>
      </c>
      <c r="D1012" s="1" t="s">
        <v>3548</v>
      </c>
      <c r="E1012" s="1" t="s">
        <v>3549</v>
      </c>
      <c r="F1012" s="1" t="s">
        <v>524</v>
      </c>
      <c r="G1012" s="1">
        <v>37829</v>
      </c>
      <c r="H1012" s="1" t="s">
        <v>525</v>
      </c>
    </row>
    <row r="1013" spans="1:8" x14ac:dyDescent="0.35">
      <c r="A1013" s="1" t="s">
        <v>3550</v>
      </c>
      <c r="B1013" s="1" t="s">
        <v>3551</v>
      </c>
      <c r="C1013" s="1" t="s">
        <v>521</v>
      </c>
      <c r="D1013" s="1" t="s">
        <v>3552</v>
      </c>
      <c r="E1013" s="1" t="s">
        <v>570</v>
      </c>
      <c r="F1013" s="1" t="s">
        <v>524</v>
      </c>
      <c r="G1013" s="1">
        <v>37840</v>
      </c>
      <c r="H1013" s="1" t="s">
        <v>525</v>
      </c>
    </row>
    <row r="1014" spans="1:8" x14ac:dyDescent="0.35">
      <c r="A1014" s="1" t="s">
        <v>316</v>
      </c>
      <c r="B1014" s="1" t="s">
        <v>3553</v>
      </c>
      <c r="C1014" s="1" t="s">
        <v>521</v>
      </c>
      <c r="D1014" s="1" t="s">
        <v>3554</v>
      </c>
      <c r="E1014" s="1" t="s">
        <v>3555</v>
      </c>
      <c r="F1014" s="1" t="s">
        <v>524</v>
      </c>
      <c r="G1014" s="1">
        <v>37872</v>
      </c>
      <c r="H1014" s="1" t="s">
        <v>525</v>
      </c>
    </row>
    <row r="1015" spans="1:8" x14ac:dyDescent="0.35">
      <c r="A1015" s="1" t="s">
        <v>3556</v>
      </c>
      <c r="B1015" s="1" t="s">
        <v>3557</v>
      </c>
      <c r="C1015" s="1" t="s">
        <v>521</v>
      </c>
      <c r="D1015" s="1" t="s">
        <v>3558</v>
      </c>
      <c r="E1015" s="1" t="s">
        <v>3559</v>
      </c>
      <c r="F1015" s="1" t="s">
        <v>524</v>
      </c>
      <c r="G1015" s="1">
        <v>38232</v>
      </c>
      <c r="H1015" s="1" t="s">
        <v>525</v>
      </c>
    </row>
    <row r="1016" spans="1:8" x14ac:dyDescent="0.35">
      <c r="A1016" s="1" t="s">
        <v>3560</v>
      </c>
      <c r="B1016" s="1" t="s">
        <v>2124</v>
      </c>
      <c r="C1016" s="1" t="s">
        <v>521</v>
      </c>
      <c r="D1016" s="1" t="s">
        <v>3561</v>
      </c>
      <c r="E1016" s="1" t="s">
        <v>3562</v>
      </c>
      <c r="F1016" s="1" t="s">
        <v>524</v>
      </c>
      <c r="G1016" s="1">
        <v>38260</v>
      </c>
      <c r="H1016" s="1" t="s">
        <v>525</v>
      </c>
    </row>
    <row r="1017" spans="1:8" x14ac:dyDescent="0.35">
      <c r="A1017" s="1" t="s">
        <v>3563</v>
      </c>
      <c r="B1017" s="1" t="s">
        <v>3564</v>
      </c>
      <c r="C1017" s="1" t="s">
        <v>521</v>
      </c>
      <c r="D1017" s="1" t="s">
        <v>3565</v>
      </c>
      <c r="E1017" s="1" t="s">
        <v>321</v>
      </c>
      <c r="F1017" s="1" t="s">
        <v>524</v>
      </c>
      <c r="G1017" s="1">
        <v>38261</v>
      </c>
      <c r="H1017" s="1" t="s">
        <v>525</v>
      </c>
    </row>
    <row r="1018" spans="1:8" x14ac:dyDescent="0.35">
      <c r="A1018" s="1" t="s">
        <v>317</v>
      </c>
      <c r="B1018" s="1" t="s">
        <v>3566</v>
      </c>
      <c r="C1018" s="1" t="s">
        <v>521</v>
      </c>
      <c r="D1018" s="1" t="s">
        <v>3567</v>
      </c>
      <c r="E1018" s="1" t="s">
        <v>3562</v>
      </c>
      <c r="F1018" s="1" t="s">
        <v>524</v>
      </c>
      <c r="G1018" s="1">
        <v>38260</v>
      </c>
      <c r="H1018" s="1" t="s">
        <v>525</v>
      </c>
    </row>
    <row r="1019" spans="1:8" x14ac:dyDescent="0.35">
      <c r="A1019" s="1" t="s">
        <v>3568</v>
      </c>
      <c r="B1019" s="1" t="s">
        <v>3569</v>
      </c>
      <c r="C1019" s="1" t="s">
        <v>521</v>
      </c>
      <c r="D1019" s="1" t="s">
        <v>3570</v>
      </c>
      <c r="E1019" s="1" t="s">
        <v>321</v>
      </c>
      <c r="F1019" s="1" t="s">
        <v>524</v>
      </c>
      <c r="G1019" s="1">
        <v>38261</v>
      </c>
      <c r="H1019" s="1" t="s">
        <v>525</v>
      </c>
    </row>
    <row r="1020" spans="1:8" x14ac:dyDescent="0.35">
      <c r="A1020" s="1" t="s">
        <v>3571</v>
      </c>
      <c r="B1020" s="1" t="s">
        <v>3572</v>
      </c>
      <c r="C1020" s="1" t="s">
        <v>521</v>
      </c>
      <c r="D1020" s="1" t="s">
        <v>3573</v>
      </c>
      <c r="E1020" s="1" t="s">
        <v>3574</v>
      </c>
      <c r="F1020" s="1" t="s">
        <v>524</v>
      </c>
      <c r="G1020" s="1">
        <v>38257</v>
      </c>
      <c r="H1020" s="1" t="s">
        <v>525</v>
      </c>
    </row>
    <row r="1021" spans="1:8" x14ac:dyDescent="0.35">
      <c r="A1021" s="1" t="s">
        <v>319</v>
      </c>
      <c r="B1021" s="1" t="s">
        <v>3575</v>
      </c>
      <c r="C1021" s="1" t="s">
        <v>521</v>
      </c>
      <c r="D1021" s="1" t="s">
        <v>3576</v>
      </c>
      <c r="E1021" s="1" t="s">
        <v>3574</v>
      </c>
      <c r="F1021" s="1" t="s">
        <v>524</v>
      </c>
      <c r="G1021" s="1">
        <v>38257</v>
      </c>
      <c r="H1021" s="1" t="s">
        <v>525</v>
      </c>
    </row>
    <row r="1022" spans="1:8" x14ac:dyDescent="0.35">
      <c r="A1022" s="1" t="s">
        <v>3577</v>
      </c>
      <c r="B1022" s="1" t="s">
        <v>3578</v>
      </c>
      <c r="C1022" s="1" t="s">
        <v>521</v>
      </c>
      <c r="D1022" s="1" t="s">
        <v>3579</v>
      </c>
      <c r="E1022" s="1" t="s">
        <v>321</v>
      </c>
      <c r="F1022" s="1" t="s">
        <v>524</v>
      </c>
      <c r="G1022" s="1">
        <v>38261</v>
      </c>
      <c r="H1022" s="1" t="s">
        <v>525</v>
      </c>
    </row>
    <row r="1023" spans="1:8" x14ac:dyDescent="0.35">
      <c r="A1023" s="1" t="s">
        <v>3580</v>
      </c>
      <c r="B1023" s="1" t="s">
        <v>3581</v>
      </c>
      <c r="C1023" s="1" t="s">
        <v>521</v>
      </c>
      <c r="D1023" s="1" t="s">
        <v>3582</v>
      </c>
      <c r="E1023" s="1" t="s">
        <v>321</v>
      </c>
      <c r="F1023" s="1" t="s">
        <v>524</v>
      </c>
      <c r="G1023" s="1">
        <v>38261</v>
      </c>
      <c r="H1023" s="1" t="s">
        <v>525</v>
      </c>
    </row>
    <row r="1024" spans="1:8" x14ac:dyDescent="0.35">
      <c r="A1024" s="1" t="s">
        <v>320</v>
      </c>
      <c r="B1024" s="1" t="s">
        <v>3583</v>
      </c>
      <c r="C1024" s="1" t="s">
        <v>521</v>
      </c>
      <c r="D1024" s="1" t="s">
        <v>3584</v>
      </c>
      <c r="E1024" s="1" t="s">
        <v>321</v>
      </c>
      <c r="F1024" s="1" t="s">
        <v>524</v>
      </c>
      <c r="G1024" s="1">
        <v>38261</v>
      </c>
      <c r="H1024" s="1" t="s">
        <v>525</v>
      </c>
    </row>
    <row r="1025" spans="1:8" x14ac:dyDescent="0.35">
      <c r="A1025" s="1" t="s">
        <v>3585</v>
      </c>
      <c r="B1025" s="1" t="s">
        <v>3586</v>
      </c>
      <c r="C1025" s="1" t="s">
        <v>521</v>
      </c>
      <c r="D1025" s="1" t="s">
        <v>3587</v>
      </c>
      <c r="E1025" s="1" t="s">
        <v>3588</v>
      </c>
      <c r="F1025" s="1" t="s">
        <v>524</v>
      </c>
      <c r="G1025" s="1">
        <v>38541</v>
      </c>
      <c r="H1025" s="1" t="s">
        <v>525</v>
      </c>
    </row>
    <row r="1026" spans="1:8" x14ac:dyDescent="0.35">
      <c r="A1026" s="1" t="s">
        <v>3589</v>
      </c>
      <c r="B1026" s="1" t="s">
        <v>3590</v>
      </c>
      <c r="C1026" s="1" t="s">
        <v>521</v>
      </c>
      <c r="D1026" s="1" t="s">
        <v>3591</v>
      </c>
      <c r="E1026" s="1" t="s">
        <v>3592</v>
      </c>
      <c r="F1026" s="1" t="s">
        <v>524</v>
      </c>
      <c r="G1026" s="1">
        <v>38568</v>
      </c>
      <c r="H1026" s="1" t="s">
        <v>525</v>
      </c>
    </row>
    <row r="1027" spans="1:8" x14ac:dyDescent="0.35">
      <c r="A1027" s="1" t="s">
        <v>322</v>
      </c>
      <c r="B1027" s="1" t="s">
        <v>3593</v>
      </c>
      <c r="C1027" s="1" t="s">
        <v>521</v>
      </c>
      <c r="D1027" s="1" t="s">
        <v>3594</v>
      </c>
      <c r="E1027" s="1" t="s">
        <v>3595</v>
      </c>
      <c r="F1027" s="1" t="s">
        <v>524</v>
      </c>
      <c r="G1027" s="1">
        <v>38570</v>
      </c>
      <c r="H1027" s="1" t="s">
        <v>525</v>
      </c>
    </row>
    <row r="1028" spans="1:8" x14ac:dyDescent="0.35">
      <c r="A1028" s="1" t="s">
        <v>3596</v>
      </c>
      <c r="B1028" s="1" t="s">
        <v>3597</v>
      </c>
      <c r="C1028" s="1" t="s">
        <v>521</v>
      </c>
      <c r="D1028" s="1" t="s">
        <v>3598</v>
      </c>
      <c r="E1028" s="1" t="s">
        <v>3595</v>
      </c>
      <c r="F1028" s="1" t="s">
        <v>524</v>
      </c>
      <c r="G1028" s="1">
        <v>38570</v>
      </c>
      <c r="H1028" s="1" t="s">
        <v>525</v>
      </c>
    </row>
    <row r="1029" spans="1:8" x14ac:dyDescent="0.35">
      <c r="A1029" s="1" t="s">
        <v>3599</v>
      </c>
      <c r="B1029" s="1" t="s">
        <v>3600</v>
      </c>
      <c r="C1029" s="1" t="s">
        <v>521</v>
      </c>
      <c r="D1029" s="1" t="s">
        <v>3601</v>
      </c>
      <c r="E1029" s="1" t="s">
        <v>3602</v>
      </c>
      <c r="F1029" s="1" t="s">
        <v>524</v>
      </c>
      <c r="G1029" s="1">
        <v>38580</v>
      </c>
      <c r="H1029" s="1" t="s">
        <v>525</v>
      </c>
    </row>
    <row r="1030" spans="1:8" x14ac:dyDescent="0.35">
      <c r="A1030" s="1" t="s">
        <v>3603</v>
      </c>
      <c r="B1030" s="1" t="s">
        <v>3604</v>
      </c>
      <c r="C1030" s="1" t="s">
        <v>521</v>
      </c>
      <c r="D1030" s="1" t="s">
        <v>3605</v>
      </c>
      <c r="E1030" s="1" t="s">
        <v>3606</v>
      </c>
      <c r="F1030" s="1" t="s">
        <v>524</v>
      </c>
      <c r="G1030" s="1">
        <v>38554</v>
      </c>
      <c r="H1030" s="1" t="s">
        <v>525</v>
      </c>
    </row>
    <row r="1031" spans="1:8" x14ac:dyDescent="0.35">
      <c r="A1031" s="1" t="s">
        <v>3607</v>
      </c>
      <c r="B1031" s="1" t="s">
        <v>3608</v>
      </c>
      <c r="C1031" s="1" t="s">
        <v>521</v>
      </c>
      <c r="D1031" s="1" t="s">
        <v>3609</v>
      </c>
      <c r="E1031" s="1" t="s">
        <v>3595</v>
      </c>
      <c r="F1031" s="1" t="s">
        <v>524</v>
      </c>
      <c r="G1031" s="1">
        <v>38570</v>
      </c>
      <c r="H1031" s="1" t="s">
        <v>525</v>
      </c>
    </row>
    <row r="1032" spans="1:8" x14ac:dyDescent="0.35">
      <c r="A1032" s="1" t="s">
        <v>3610</v>
      </c>
      <c r="B1032" s="1" t="s">
        <v>593</v>
      </c>
      <c r="C1032" s="1" t="s">
        <v>521</v>
      </c>
      <c r="D1032" s="1" t="s">
        <v>3611</v>
      </c>
      <c r="E1032" s="1" t="s">
        <v>3612</v>
      </c>
      <c r="F1032" s="1" t="s">
        <v>524</v>
      </c>
      <c r="G1032" s="1">
        <v>37096</v>
      </c>
      <c r="H1032" s="1" t="s">
        <v>525</v>
      </c>
    </row>
    <row r="1033" spans="1:8" x14ac:dyDescent="0.35">
      <c r="A1033" s="1" t="s">
        <v>3613</v>
      </c>
      <c r="B1033" s="1" t="s">
        <v>3614</v>
      </c>
      <c r="C1033" s="1" t="s">
        <v>521</v>
      </c>
      <c r="D1033" s="1" t="s">
        <v>3615</v>
      </c>
      <c r="E1033" s="1" t="s">
        <v>3616</v>
      </c>
      <c r="F1033" s="1" t="s">
        <v>524</v>
      </c>
      <c r="G1033" s="1">
        <v>37097</v>
      </c>
      <c r="H1033" s="1" t="s">
        <v>525</v>
      </c>
    </row>
    <row r="1034" spans="1:8" x14ac:dyDescent="0.35">
      <c r="A1034" s="1" t="s">
        <v>3617</v>
      </c>
      <c r="B1034" s="1" t="s">
        <v>3618</v>
      </c>
      <c r="C1034" s="1" t="s">
        <v>521</v>
      </c>
      <c r="D1034" s="1" t="s">
        <v>3619</v>
      </c>
      <c r="E1034" s="1" t="s">
        <v>3612</v>
      </c>
      <c r="F1034" s="1" t="s">
        <v>524</v>
      </c>
      <c r="G1034" s="1">
        <v>37096</v>
      </c>
      <c r="H1034" s="1" t="s">
        <v>525</v>
      </c>
    </row>
    <row r="1035" spans="1:8" x14ac:dyDescent="0.35">
      <c r="A1035" s="1" t="s">
        <v>324</v>
      </c>
      <c r="B1035" s="1" t="s">
        <v>3620</v>
      </c>
      <c r="C1035" s="1" t="s">
        <v>521</v>
      </c>
      <c r="D1035" s="1" t="s">
        <v>3621</v>
      </c>
      <c r="E1035" s="1" t="s">
        <v>3612</v>
      </c>
      <c r="F1035" s="1" t="s">
        <v>524</v>
      </c>
      <c r="G1035" s="1">
        <v>37096</v>
      </c>
      <c r="H1035" s="1" t="s">
        <v>525</v>
      </c>
    </row>
    <row r="1036" spans="1:8" x14ac:dyDescent="0.35">
      <c r="A1036" s="1" t="s">
        <v>326</v>
      </c>
      <c r="B1036" s="1" t="s">
        <v>3622</v>
      </c>
      <c r="C1036" s="1" t="s">
        <v>521</v>
      </c>
      <c r="D1036" s="1" t="s">
        <v>3623</v>
      </c>
      <c r="E1036" s="1" t="s">
        <v>3624</v>
      </c>
      <c r="F1036" s="1" t="s">
        <v>524</v>
      </c>
      <c r="G1036" s="1">
        <v>38549</v>
      </c>
      <c r="H1036" s="1" t="s">
        <v>525</v>
      </c>
    </row>
    <row r="1037" spans="1:8" x14ac:dyDescent="0.35">
      <c r="A1037" s="1" t="s">
        <v>3625</v>
      </c>
      <c r="B1037" s="1" t="s">
        <v>3626</v>
      </c>
      <c r="C1037" s="1" t="s">
        <v>521</v>
      </c>
      <c r="D1037" s="1" t="s">
        <v>3627</v>
      </c>
      <c r="E1037" s="1" t="s">
        <v>3624</v>
      </c>
      <c r="F1037" s="1" t="s">
        <v>524</v>
      </c>
      <c r="G1037" s="1">
        <v>38549</v>
      </c>
      <c r="H1037" s="1" t="s">
        <v>525</v>
      </c>
    </row>
    <row r="1038" spans="1:8" x14ac:dyDescent="0.35">
      <c r="A1038" s="1" t="s">
        <v>3628</v>
      </c>
      <c r="B1038" s="1" t="s">
        <v>3629</v>
      </c>
      <c r="C1038" s="1" t="s">
        <v>521</v>
      </c>
      <c r="D1038" s="1" t="s">
        <v>3630</v>
      </c>
      <c r="E1038" s="1" t="s">
        <v>3631</v>
      </c>
      <c r="F1038" s="1" t="s">
        <v>524</v>
      </c>
      <c r="G1038" s="1">
        <v>37307</v>
      </c>
      <c r="H1038" s="1" t="s">
        <v>525</v>
      </c>
    </row>
    <row r="1039" spans="1:8" x14ac:dyDescent="0.35">
      <c r="A1039" s="1" t="s">
        <v>3632</v>
      </c>
      <c r="B1039" s="1" t="s">
        <v>3633</v>
      </c>
      <c r="C1039" s="1" t="s">
        <v>521</v>
      </c>
      <c r="D1039" s="1" t="s">
        <v>3634</v>
      </c>
      <c r="E1039" s="1" t="s">
        <v>3635</v>
      </c>
      <c r="F1039" s="1" t="s">
        <v>524</v>
      </c>
      <c r="G1039" s="1">
        <v>37317</v>
      </c>
      <c r="H1039" s="1" t="s">
        <v>525</v>
      </c>
    </row>
    <row r="1040" spans="1:8" x14ac:dyDescent="0.35">
      <c r="A1040" s="1" t="s">
        <v>328</v>
      </c>
      <c r="B1040" s="1" t="s">
        <v>3636</v>
      </c>
      <c r="C1040" s="1" t="s">
        <v>521</v>
      </c>
      <c r="D1040" s="1" t="s">
        <v>3637</v>
      </c>
      <c r="E1040" s="1" t="s">
        <v>3635</v>
      </c>
      <c r="F1040" s="1" t="s">
        <v>524</v>
      </c>
      <c r="G1040" s="1">
        <v>37317</v>
      </c>
      <c r="H1040" s="1" t="s">
        <v>525</v>
      </c>
    </row>
    <row r="1041" spans="1:8" x14ac:dyDescent="0.35">
      <c r="A1041" s="1" t="s">
        <v>3638</v>
      </c>
      <c r="B1041" s="1" t="s">
        <v>3639</v>
      </c>
      <c r="C1041" s="1" t="s">
        <v>521</v>
      </c>
      <c r="D1041" s="1" t="s">
        <v>3630</v>
      </c>
      <c r="E1041" s="1" t="s">
        <v>3631</v>
      </c>
      <c r="F1041" s="1" t="s">
        <v>524</v>
      </c>
      <c r="G1041" s="1">
        <v>37307</v>
      </c>
      <c r="H1041" s="1" t="s">
        <v>525</v>
      </c>
    </row>
    <row r="1042" spans="1:8" x14ac:dyDescent="0.35">
      <c r="A1042" s="1" t="s">
        <v>330</v>
      </c>
      <c r="B1042" s="1" t="s">
        <v>3640</v>
      </c>
      <c r="C1042" s="1" t="s">
        <v>521</v>
      </c>
      <c r="D1042" s="1" t="s">
        <v>3641</v>
      </c>
      <c r="E1042" s="1" t="s">
        <v>3631</v>
      </c>
      <c r="F1042" s="1" t="s">
        <v>524</v>
      </c>
      <c r="G1042" s="1">
        <v>37307</v>
      </c>
      <c r="H1042" s="1" t="s">
        <v>525</v>
      </c>
    </row>
    <row r="1043" spans="1:8" x14ac:dyDescent="0.35">
      <c r="A1043" s="1" t="s">
        <v>3642</v>
      </c>
      <c r="B1043" s="1" t="s">
        <v>3643</v>
      </c>
      <c r="C1043" s="1" t="s">
        <v>521</v>
      </c>
      <c r="D1043" s="1" t="s">
        <v>3644</v>
      </c>
      <c r="E1043" s="1" t="s">
        <v>3645</v>
      </c>
      <c r="F1043" s="1" t="s">
        <v>524</v>
      </c>
      <c r="G1043" s="1">
        <v>37362</v>
      </c>
      <c r="H1043" s="1" t="s">
        <v>525</v>
      </c>
    </row>
    <row r="1044" spans="1:8" x14ac:dyDescent="0.35">
      <c r="A1044" s="1" t="s">
        <v>3646</v>
      </c>
      <c r="B1044" s="1" t="s">
        <v>3647</v>
      </c>
      <c r="C1044" s="1" t="s">
        <v>521</v>
      </c>
      <c r="D1044" s="1" t="s">
        <v>3648</v>
      </c>
      <c r="E1044" s="1" t="s">
        <v>3649</v>
      </c>
      <c r="F1044" s="1" t="s">
        <v>524</v>
      </c>
      <c r="G1044" s="1">
        <v>38506</v>
      </c>
      <c r="H1044" s="1" t="s">
        <v>525</v>
      </c>
    </row>
    <row r="1045" spans="1:8" x14ac:dyDescent="0.35">
      <c r="A1045" s="1" t="s">
        <v>3650</v>
      </c>
      <c r="B1045" s="1" t="s">
        <v>3651</v>
      </c>
      <c r="C1045" s="1" t="s">
        <v>521</v>
      </c>
      <c r="D1045" s="1" t="s">
        <v>3652</v>
      </c>
      <c r="E1045" s="1" t="s">
        <v>2638</v>
      </c>
      <c r="F1045" s="1" t="s">
        <v>524</v>
      </c>
      <c r="G1045" s="1">
        <v>38506</v>
      </c>
      <c r="H1045" s="1" t="s">
        <v>525</v>
      </c>
    </row>
    <row r="1046" spans="1:8" x14ac:dyDescent="0.35">
      <c r="A1046" s="1" t="s">
        <v>3653</v>
      </c>
      <c r="B1046" s="1" t="s">
        <v>3654</v>
      </c>
      <c r="C1046" s="1" t="s">
        <v>521</v>
      </c>
      <c r="D1046" s="1" t="s">
        <v>3655</v>
      </c>
      <c r="E1046" s="1" t="s">
        <v>2638</v>
      </c>
      <c r="F1046" s="1" t="s">
        <v>524</v>
      </c>
      <c r="G1046" s="1">
        <v>38506</v>
      </c>
      <c r="H1046" s="1" t="s">
        <v>525</v>
      </c>
    </row>
    <row r="1047" spans="1:8" x14ac:dyDescent="0.35">
      <c r="A1047" s="1" t="s">
        <v>3656</v>
      </c>
      <c r="B1047" s="1" t="s">
        <v>3657</v>
      </c>
      <c r="C1047" s="1" t="s">
        <v>521</v>
      </c>
      <c r="D1047" s="1" t="s">
        <v>3658</v>
      </c>
      <c r="E1047" s="1" t="s">
        <v>3659</v>
      </c>
      <c r="F1047" s="1" t="s">
        <v>524</v>
      </c>
      <c r="G1047" s="1">
        <v>38544</v>
      </c>
      <c r="H1047" s="1" t="s">
        <v>525</v>
      </c>
    </row>
    <row r="1048" spans="1:8" x14ac:dyDescent="0.35">
      <c r="A1048" s="1" t="s">
        <v>3660</v>
      </c>
      <c r="B1048" s="1" t="s">
        <v>3661</v>
      </c>
      <c r="C1048" s="1" t="s">
        <v>521</v>
      </c>
      <c r="D1048" s="1" t="s">
        <v>3662</v>
      </c>
      <c r="E1048" s="1" t="s">
        <v>3659</v>
      </c>
      <c r="F1048" s="1" t="s">
        <v>524</v>
      </c>
      <c r="G1048" s="1">
        <v>38544</v>
      </c>
      <c r="H1048" s="1" t="s">
        <v>525</v>
      </c>
    </row>
    <row r="1049" spans="1:8" x14ac:dyDescent="0.35">
      <c r="A1049" s="1" t="s">
        <v>3663</v>
      </c>
      <c r="B1049" s="1" t="s">
        <v>3664</v>
      </c>
      <c r="C1049" s="1" t="s">
        <v>521</v>
      </c>
      <c r="D1049" s="1" t="s">
        <v>3665</v>
      </c>
      <c r="E1049" s="1" t="s">
        <v>3666</v>
      </c>
      <c r="F1049" s="1" t="s">
        <v>524</v>
      </c>
      <c r="G1049" s="1">
        <v>38574</v>
      </c>
      <c r="H1049" s="1" t="s">
        <v>525</v>
      </c>
    </row>
    <row r="1050" spans="1:8" x14ac:dyDescent="0.35">
      <c r="A1050" s="1" t="s">
        <v>3667</v>
      </c>
      <c r="B1050" s="1" t="s">
        <v>3668</v>
      </c>
      <c r="C1050" s="1" t="s">
        <v>521</v>
      </c>
      <c r="D1050" s="1" t="s">
        <v>3669</v>
      </c>
      <c r="E1050" s="1" t="s">
        <v>2638</v>
      </c>
      <c r="F1050" s="1" t="s">
        <v>524</v>
      </c>
      <c r="G1050" s="1">
        <v>38501</v>
      </c>
      <c r="H1050" s="1" t="s">
        <v>525</v>
      </c>
    </row>
    <row r="1051" spans="1:8" x14ac:dyDescent="0.35">
      <c r="A1051" s="1" t="s">
        <v>3670</v>
      </c>
      <c r="B1051" s="1" t="s">
        <v>3671</v>
      </c>
      <c r="C1051" s="1" t="s">
        <v>521</v>
      </c>
      <c r="D1051" s="1" t="s">
        <v>3672</v>
      </c>
      <c r="E1051" s="1" t="s">
        <v>2638</v>
      </c>
      <c r="F1051" s="1" t="s">
        <v>524</v>
      </c>
      <c r="G1051" s="1">
        <v>38501</v>
      </c>
      <c r="H1051" s="1" t="s">
        <v>525</v>
      </c>
    </row>
    <row r="1052" spans="1:8" x14ac:dyDescent="0.35">
      <c r="A1052" s="1" t="s">
        <v>331</v>
      </c>
      <c r="B1052" s="1" t="s">
        <v>3673</v>
      </c>
      <c r="C1052" s="1" t="s">
        <v>521</v>
      </c>
      <c r="D1052" s="1" t="s">
        <v>3674</v>
      </c>
      <c r="E1052" s="1" t="s">
        <v>2638</v>
      </c>
      <c r="F1052" s="1" t="s">
        <v>524</v>
      </c>
      <c r="G1052" s="1">
        <v>38501</v>
      </c>
      <c r="H1052" s="1" t="s">
        <v>525</v>
      </c>
    </row>
    <row r="1053" spans="1:8" x14ac:dyDescent="0.35">
      <c r="A1053" s="1" t="s">
        <v>3675</v>
      </c>
      <c r="B1053" s="1" t="s">
        <v>3676</v>
      </c>
      <c r="C1053" s="1" t="s">
        <v>521</v>
      </c>
      <c r="D1053" s="1" t="s">
        <v>3677</v>
      </c>
      <c r="E1053" s="1" t="s">
        <v>2638</v>
      </c>
      <c r="F1053" s="1" t="s">
        <v>524</v>
      </c>
      <c r="G1053" s="1">
        <v>38501</v>
      </c>
      <c r="H1053" s="1" t="s">
        <v>525</v>
      </c>
    </row>
    <row r="1054" spans="1:8" x14ac:dyDescent="0.35">
      <c r="A1054" s="1" t="s">
        <v>333</v>
      </c>
      <c r="B1054" s="1" t="s">
        <v>3678</v>
      </c>
      <c r="C1054" s="1" t="s">
        <v>521</v>
      </c>
      <c r="D1054" s="1" t="s">
        <v>3679</v>
      </c>
      <c r="E1054" s="1" t="s">
        <v>3666</v>
      </c>
      <c r="F1054" s="1" t="s">
        <v>524</v>
      </c>
      <c r="G1054" s="1">
        <v>38574</v>
      </c>
      <c r="H1054" s="1" t="s">
        <v>525</v>
      </c>
    </row>
    <row r="1055" spans="1:8" x14ac:dyDescent="0.35">
      <c r="A1055" s="1" t="s">
        <v>3680</v>
      </c>
      <c r="B1055" s="1" t="s">
        <v>3480</v>
      </c>
      <c r="C1055" s="1" t="s">
        <v>521</v>
      </c>
      <c r="D1055" s="1" t="s">
        <v>3681</v>
      </c>
      <c r="E1055" s="1" t="s">
        <v>2638</v>
      </c>
      <c r="F1055" s="1" t="s">
        <v>524</v>
      </c>
      <c r="G1055" s="1">
        <v>38501</v>
      </c>
      <c r="H1055" s="1" t="s">
        <v>525</v>
      </c>
    </row>
    <row r="1056" spans="1:8" x14ac:dyDescent="0.35">
      <c r="A1056" s="1" t="s">
        <v>3682</v>
      </c>
      <c r="B1056" s="1" t="s">
        <v>3683</v>
      </c>
      <c r="C1056" s="1" t="s">
        <v>521</v>
      </c>
      <c r="D1056" s="1" t="s">
        <v>3684</v>
      </c>
      <c r="E1056" s="1" t="s">
        <v>2638</v>
      </c>
      <c r="F1056" s="1" t="s">
        <v>524</v>
      </c>
      <c r="G1056" s="1">
        <v>38501</v>
      </c>
      <c r="H1056" s="1" t="s">
        <v>525</v>
      </c>
    </row>
    <row r="1057" spans="1:8" x14ac:dyDescent="0.35">
      <c r="A1057" s="1" t="s">
        <v>3685</v>
      </c>
      <c r="B1057" s="1" t="s">
        <v>3686</v>
      </c>
      <c r="C1057" s="1" t="s">
        <v>521</v>
      </c>
      <c r="D1057" s="1" t="s">
        <v>3687</v>
      </c>
      <c r="E1057" s="1" t="s">
        <v>2638</v>
      </c>
      <c r="F1057" s="1" t="s">
        <v>524</v>
      </c>
      <c r="G1057" s="1">
        <v>38501</v>
      </c>
      <c r="H1057" s="1" t="s">
        <v>525</v>
      </c>
    </row>
    <row r="1058" spans="1:8" x14ac:dyDescent="0.35">
      <c r="A1058" s="1" t="s">
        <v>3688</v>
      </c>
      <c r="B1058" s="1" t="s">
        <v>3689</v>
      </c>
      <c r="C1058" s="1" t="s">
        <v>521</v>
      </c>
      <c r="D1058" s="1" t="s">
        <v>3690</v>
      </c>
      <c r="E1058" s="1" t="s">
        <v>2638</v>
      </c>
      <c r="F1058" s="1" t="s">
        <v>524</v>
      </c>
      <c r="G1058" s="1">
        <v>38501</v>
      </c>
      <c r="H1058" s="1" t="s">
        <v>525</v>
      </c>
    </row>
    <row r="1059" spans="1:8" x14ac:dyDescent="0.35">
      <c r="A1059" s="1" t="s">
        <v>334</v>
      </c>
      <c r="B1059" s="1" t="s">
        <v>3691</v>
      </c>
      <c r="C1059" s="1" t="s">
        <v>521</v>
      </c>
      <c r="D1059" s="1" t="s">
        <v>3692</v>
      </c>
      <c r="E1059" s="1" t="s">
        <v>3659</v>
      </c>
      <c r="F1059" s="1" t="s">
        <v>524</v>
      </c>
      <c r="G1059" s="1">
        <v>38544</v>
      </c>
      <c r="H1059" s="1" t="s">
        <v>525</v>
      </c>
    </row>
    <row r="1060" spans="1:8" x14ac:dyDescent="0.35">
      <c r="A1060" s="1" t="s">
        <v>3693</v>
      </c>
      <c r="B1060" s="1" t="s">
        <v>3694</v>
      </c>
      <c r="C1060" s="1" t="s">
        <v>521</v>
      </c>
      <c r="D1060" s="1" t="s">
        <v>3695</v>
      </c>
      <c r="E1060" s="1" t="s">
        <v>2638</v>
      </c>
      <c r="F1060" s="1" t="s">
        <v>524</v>
      </c>
      <c r="G1060" s="1">
        <v>38506</v>
      </c>
      <c r="H1060" s="1" t="s">
        <v>525</v>
      </c>
    </row>
    <row r="1061" spans="1:8" x14ac:dyDescent="0.35">
      <c r="A1061" s="1" t="s">
        <v>3696</v>
      </c>
      <c r="B1061" s="1" t="s">
        <v>3697</v>
      </c>
      <c r="C1061" s="1" t="s">
        <v>521</v>
      </c>
      <c r="D1061" s="1" t="s">
        <v>3698</v>
      </c>
      <c r="E1061" s="1" t="s">
        <v>2638</v>
      </c>
      <c r="F1061" s="1" t="s">
        <v>524</v>
      </c>
      <c r="G1061" s="1">
        <v>38506</v>
      </c>
      <c r="H1061" s="1" t="s">
        <v>525</v>
      </c>
    </row>
    <row r="1062" spans="1:8" x14ac:dyDescent="0.35">
      <c r="A1062" s="1" t="s">
        <v>3699</v>
      </c>
      <c r="B1062" s="1" t="s">
        <v>3700</v>
      </c>
      <c r="C1062" s="1" t="s">
        <v>521</v>
      </c>
      <c r="D1062" s="1" t="s">
        <v>3701</v>
      </c>
      <c r="E1062" s="1" t="s">
        <v>3659</v>
      </c>
      <c r="F1062" s="1" t="s">
        <v>524</v>
      </c>
      <c r="G1062" s="1">
        <v>38544</v>
      </c>
      <c r="H1062" s="1" t="s">
        <v>525</v>
      </c>
    </row>
    <row r="1063" spans="1:8" x14ac:dyDescent="0.35">
      <c r="A1063" s="1" t="s">
        <v>3702</v>
      </c>
      <c r="B1063" s="1" t="s">
        <v>3703</v>
      </c>
      <c r="C1063" s="1" t="s">
        <v>521</v>
      </c>
      <c r="D1063" s="1" t="s">
        <v>3704</v>
      </c>
      <c r="E1063" s="1" t="s">
        <v>3705</v>
      </c>
      <c r="F1063" s="1" t="s">
        <v>524</v>
      </c>
      <c r="G1063" s="1">
        <v>37321</v>
      </c>
      <c r="H1063" s="1" t="s">
        <v>525</v>
      </c>
    </row>
    <row r="1064" spans="1:8" x14ac:dyDescent="0.35">
      <c r="A1064" s="1" t="s">
        <v>3706</v>
      </c>
      <c r="B1064" s="1" t="s">
        <v>3707</v>
      </c>
      <c r="C1064" s="1" t="s">
        <v>521</v>
      </c>
      <c r="D1064" s="1" t="s">
        <v>3708</v>
      </c>
      <c r="E1064" s="1" t="s">
        <v>3705</v>
      </c>
      <c r="F1064" s="1" t="s">
        <v>524</v>
      </c>
      <c r="G1064" s="1">
        <v>37321</v>
      </c>
      <c r="H1064" s="1" t="s">
        <v>525</v>
      </c>
    </row>
    <row r="1065" spans="1:8" x14ac:dyDescent="0.35">
      <c r="A1065" s="1" t="s">
        <v>335</v>
      </c>
      <c r="B1065" s="1" t="s">
        <v>3709</v>
      </c>
      <c r="C1065" s="1" t="s">
        <v>521</v>
      </c>
      <c r="D1065" s="1" t="s">
        <v>3710</v>
      </c>
      <c r="E1065" s="1" t="s">
        <v>3711</v>
      </c>
      <c r="F1065" s="1" t="s">
        <v>524</v>
      </c>
      <c r="G1065" s="1">
        <v>37332</v>
      </c>
      <c r="H1065" s="1" t="s">
        <v>525</v>
      </c>
    </row>
    <row r="1066" spans="1:8" x14ac:dyDescent="0.35">
      <c r="A1066" s="1" t="s">
        <v>3712</v>
      </c>
      <c r="B1066" s="1" t="s">
        <v>3713</v>
      </c>
      <c r="C1066" s="1" t="s">
        <v>521</v>
      </c>
      <c r="D1066" s="1" t="s">
        <v>3714</v>
      </c>
      <c r="E1066" s="1" t="s">
        <v>3715</v>
      </c>
      <c r="F1066" s="1" t="s">
        <v>524</v>
      </c>
      <c r="G1066" s="1">
        <v>37381</v>
      </c>
      <c r="H1066" s="1" t="s">
        <v>525</v>
      </c>
    </row>
    <row r="1067" spans="1:8" x14ac:dyDescent="0.35">
      <c r="A1067" s="1" t="s">
        <v>3716</v>
      </c>
      <c r="B1067" s="1" t="s">
        <v>3717</v>
      </c>
      <c r="C1067" s="1" t="s">
        <v>521</v>
      </c>
      <c r="D1067" s="1" t="s">
        <v>3718</v>
      </c>
      <c r="E1067" s="1" t="s">
        <v>3715</v>
      </c>
      <c r="F1067" s="1" t="s">
        <v>524</v>
      </c>
      <c r="G1067" s="1">
        <v>37381</v>
      </c>
      <c r="H1067" s="1" t="s">
        <v>525</v>
      </c>
    </row>
    <row r="1068" spans="1:8" x14ac:dyDescent="0.35">
      <c r="A1068" s="1" t="s">
        <v>3719</v>
      </c>
      <c r="B1068" s="1" t="s">
        <v>3720</v>
      </c>
      <c r="C1068" s="1" t="s">
        <v>521</v>
      </c>
      <c r="D1068" s="1" t="s">
        <v>3721</v>
      </c>
      <c r="E1068" s="1" t="s">
        <v>3705</v>
      </c>
      <c r="F1068" s="1" t="s">
        <v>524</v>
      </c>
      <c r="G1068" s="1">
        <v>37321</v>
      </c>
      <c r="H1068" s="1" t="s">
        <v>525</v>
      </c>
    </row>
    <row r="1069" spans="1:8" x14ac:dyDescent="0.35">
      <c r="A1069" s="1" t="s">
        <v>3722</v>
      </c>
      <c r="B1069" s="1" t="s">
        <v>3723</v>
      </c>
      <c r="C1069" s="1" t="s">
        <v>521</v>
      </c>
      <c r="D1069" s="1" t="s">
        <v>3724</v>
      </c>
      <c r="E1069" s="1" t="s">
        <v>3711</v>
      </c>
      <c r="F1069" s="1" t="s">
        <v>524</v>
      </c>
      <c r="G1069" s="1">
        <v>37332</v>
      </c>
      <c r="H1069" s="1" t="s">
        <v>525</v>
      </c>
    </row>
    <row r="1070" spans="1:8" x14ac:dyDescent="0.35">
      <c r="A1070" s="1" t="s">
        <v>3725</v>
      </c>
      <c r="B1070" s="1" t="s">
        <v>3726</v>
      </c>
      <c r="C1070" s="1" t="s">
        <v>521</v>
      </c>
      <c r="D1070" s="1" t="s">
        <v>3727</v>
      </c>
      <c r="E1070" s="1" t="s">
        <v>3705</v>
      </c>
      <c r="F1070" s="1" t="s">
        <v>524</v>
      </c>
      <c r="G1070" s="1">
        <v>37321</v>
      </c>
      <c r="H1070" s="1" t="s">
        <v>525</v>
      </c>
    </row>
    <row r="1071" spans="1:8" x14ac:dyDescent="0.35">
      <c r="A1071" s="1" t="s">
        <v>3728</v>
      </c>
      <c r="B1071" s="1" t="s">
        <v>3729</v>
      </c>
      <c r="C1071" s="1" t="s">
        <v>521</v>
      </c>
      <c r="D1071" s="1" t="s">
        <v>3730</v>
      </c>
      <c r="E1071" s="1" t="s">
        <v>3731</v>
      </c>
      <c r="F1071" s="1" t="s">
        <v>524</v>
      </c>
      <c r="G1071" s="1">
        <v>37763</v>
      </c>
      <c r="H1071" s="1" t="s">
        <v>525</v>
      </c>
    </row>
    <row r="1072" spans="1:8" x14ac:dyDescent="0.35">
      <c r="A1072" s="1" t="s">
        <v>3732</v>
      </c>
      <c r="B1072" s="1" t="s">
        <v>3733</v>
      </c>
      <c r="C1072" s="1" t="s">
        <v>521</v>
      </c>
      <c r="D1072" s="1" t="s">
        <v>3734</v>
      </c>
      <c r="E1072" s="1" t="s">
        <v>3735</v>
      </c>
      <c r="F1072" s="1" t="s">
        <v>524</v>
      </c>
      <c r="G1072" s="1">
        <v>37748</v>
      </c>
      <c r="H1072" s="1" t="s">
        <v>525</v>
      </c>
    </row>
    <row r="1073" spans="1:8" x14ac:dyDescent="0.35">
      <c r="A1073" s="1" t="s">
        <v>337</v>
      </c>
      <c r="B1073" s="1" t="s">
        <v>3736</v>
      </c>
      <c r="C1073" s="1" t="s">
        <v>521</v>
      </c>
      <c r="D1073" s="1" t="s">
        <v>3737</v>
      </c>
      <c r="E1073" s="1" t="s">
        <v>3735</v>
      </c>
      <c r="F1073" s="1" t="s">
        <v>524</v>
      </c>
      <c r="G1073" s="1">
        <v>37748</v>
      </c>
      <c r="H1073" s="1" t="s">
        <v>525</v>
      </c>
    </row>
    <row r="1074" spans="1:8" x14ac:dyDescent="0.35">
      <c r="A1074" s="1" t="s">
        <v>3738</v>
      </c>
      <c r="B1074" s="1" t="s">
        <v>3739</v>
      </c>
      <c r="C1074" s="1" t="s">
        <v>521</v>
      </c>
      <c r="D1074" s="1" t="s">
        <v>3740</v>
      </c>
      <c r="E1074" s="1" t="s">
        <v>3735</v>
      </c>
      <c r="F1074" s="1" t="s">
        <v>524</v>
      </c>
      <c r="G1074" s="1">
        <v>37748</v>
      </c>
      <c r="H1074" s="1" t="s">
        <v>525</v>
      </c>
    </row>
    <row r="1075" spans="1:8" x14ac:dyDescent="0.35">
      <c r="A1075" s="1" t="s">
        <v>3741</v>
      </c>
      <c r="B1075" s="1" t="s">
        <v>3742</v>
      </c>
      <c r="C1075" s="1" t="s">
        <v>521</v>
      </c>
      <c r="D1075" s="1" t="s">
        <v>3743</v>
      </c>
      <c r="E1075" s="1" t="s">
        <v>3731</v>
      </c>
      <c r="F1075" s="1" t="s">
        <v>524</v>
      </c>
      <c r="G1075" s="1">
        <v>37763</v>
      </c>
      <c r="H1075" s="1" t="s">
        <v>525</v>
      </c>
    </row>
    <row r="1076" spans="1:8" x14ac:dyDescent="0.35">
      <c r="A1076" s="1" t="s">
        <v>3744</v>
      </c>
      <c r="B1076" s="1" t="s">
        <v>3745</v>
      </c>
      <c r="C1076" s="1" t="s">
        <v>521</v>
      </c>
      <c r="D1076" s="1" t="s">
        <v>3746</v>
      </c>
      <c r="E1076" s="1" t="s">
        <v>3735</v>
      </c>
      <c r="F1076" s="1" t="s">
        <v>524</v>
      </c>
      <c r="G1076" s="1">
        <v>37748</v>
      </c>
      <c r="H1076" s="1" t="s">
        <v>525</v>
      </c>
    </row>
    <row r="1077" spans="1:8" x14ac:dyDescent="0.35">
      <c r="A1077" s="1" t="s">
        <v>3747</v>
      </c>
      <c r="B1077" s="1" t="s">
        <v>1074</v>
      </c>
      <c r="C1077" s="1" t="s">
        <v>521</v>
      </c>
      <c r="D1077" s="1" t="s">
        <v>3748</v>
      </c>
      <c r="E1077" s="1" t="s">
        <v>3731</v>
      </c>
      <c r="F1077" s="1" t="s">
        <v>524</v>
      </c>
      <c r="G1077" s="1">
        <v>37763</v>
      </c>
      <c r="H1077" s="1" t="s">
        <v>525</v>
      </c>
    </row>
    <row r="1078" spans="1:8" x14ac:dyDescent="0.35">
      <c r="A1078" s="1" t="s">
        <v>3749</v>
      </c>
      <c r="B1078" s="1" t="s">
        <v>3750</v>
      </c>
      <c r="C1078" s="1" t="s">
        <v>521</v>
      </c>
      <c r="D1078" s="1" t="s">
        <v>3751</v>
      </c>
      <c r="E1078" s="1" t="s">
        <v>3752</v>
      </c>
      <c r="F1078" s="1" t="s">
        <v>524</v>
      </c>
      <c r="G1078" s="1">
        <v>37880</v>
      </c>
      <c r="H1078" s="1" t="s">
        <v>525</v>
      </c>
    </row>
    <row r="1079" spans="1:8" x14ac:dyDescent="0.35">
      <c r="A1079" s="1" t="s">
        <v>339</v>
      </c>
      <c r="B1079" s="1" t="s">
        <v>3753</v>
      </c>
      <c r="C1079" s="1" t="s">
        <v>521</v>
      </c>
      <c r="D1079" s="1" t="s">
        <v>3754</v>
      </c>
      <c r="E1079" s="1" t="s">
        <v>3731</v>
      </c>
      <c r="F1079" s="1" t="s">
        <v>524</v>
      </c>
      <c r="G1079" s="1">
        <v>37763</v>
      </c>
      <c r="H1079" s="1" t="s">
        <v>525</v>
      </c>
    </row>
    <row r="1080" spans="1:8" x14ac:dyDescent="0.35">
      <c r="A1080" s="1" t="s">
        <v>3755</v>
      </c>
      <c r="B1080" s="1" t="s">
        <v>3756</v>
      </c>
      <c r="C1080" s="1" t="s">
        <v>521</v>
      </c>
      <c r="D1080" s="1" t="s">
        <v>3757</v>
      </c>
      <c r="E1080" s="1" t="s">
        <v>570</v>
      </c>
      <c r="F1080" s="1" t="s">
        <v>524</v>
      </c>
      <c r="G1080" s="1">
        <v>37840</v>
      </c>
      <c r="H1080" s="1" t="s">
        <v>525</v>
      </c>
    </row>
    <row r="1081" spans="1:8" x14ac:dyDescent="0.35">
      <c r="A1081" s="1" t="s">
        <v>340</v>
      </c>
      <c r="B1081" s="1" t="s">
        <v>3758</v>
      </c>
      <c r="C1081" s="1" t="s">
        <v>521</v>
      </c>
      <c r="D1081" s="1" t="s">
        <v>3759</v>
      </c>
      <c r="E1081" s="1" t="s">
        <v>570</v>
      </c>
      <c r="F1081" s="1" t="s">
        <v>524</v>
      </c>
      <c r="G1081" s="1">
        <v>37840</v>
      </c>
      <c r="H1081" s="1" t="s">
        <v>525</v>
      </c>
    </row>
    <row r="1082" spans="1:8" x14ac:dyDescent="0.35">
      <c r="A1082" s="1" t="s">
        <v>3760</v>
      </c>
      <c r="B1082" s="1" t="s">
        <v>3761</v>
      </c>
      <c r="C1082" s="1" t="s">
        <v>521</v>
      </c>
      <c r="D1082" s="1" t="s">
        <v>3762</v>
      </c>
      <c r="E1082" s="1" t="s">
        <v>1249</v>
      </c>
      <c r="F1082" s="1" t="s">
        <v>524</v>
      </c>
      <c r="G1082" s="1">
        <v>37854</v>
      </c>
      <c r="H1082" s="1" t="s">
        <v>525</v>
      </c>
    </row>
    <row r="1083" spans="1:8" x14ac:dyDescent="0.35">
      <c r="A1083" s="1" t="s">
        <v>341</v>
      </c>
      <c r="B1083" s="1" t="s">
        <v>3763</v>
      </c>
      <c r="C1083" s="1" t="s">
        <v>521</v>
      </c>
      <c r="D1083" s="1" t="s">
        <v>3764</v>
      </c>
      <c r="E1083" s="1" t="s">
        <v>3731</v>
      </c>
      <c r="F1083" s="1" t="s">
        <v>524</v>
      </c>
      <c r="G1083" s="1">
        <v>37763</v>
      </c>
      <c r="H1083" s="1" t="s">
        <v>525</v>
      </c>
    </row>
    <row r="1084" spans="1:8" x14ac:dyDescent="0.35">
      <c r="A1084" s="1" t="s">
        <v>342</v>
      </c>
      <c r="B1084" s="1" t="s">
        <v>3765</v>
      </c>
      <c r="C1084" s="1" t="s">
        <v>521</v>
      </c>
      <c r="D1084" s="1" t="s">
        <v>3766</v>
      </c>
      <c r="E1084" s="1" t="s">
        <v>3735</v>
      </c>
      <c r="F1084" s="1" t="s">
        <v>524</v>
      </c>
      <c r="G1084" s="1">
        <v>37748</v>
      </c>
      <c r="H1084" s="1" t="s">
        <v>525</v>
      </c>
    </row>
    <row r="1085" spans="1:8" x14ac:dyDescent="0.35">
      <c r="A1085" s="1" t="s">
        <v>343</v>
      </c>
      <c r="B1085" s="1" t="s">
        <v>3767</v>
      </c>
      <c r="C1085" s="1" t="s">
        <v>521</v>
      </c>
      <c r="D1085" s="1" t="s">
        <v>3768</v>
      </c>
      <c r="E1085" s="1" t="s">
        <v>1249</v>
      </c>
      <c r="F1085" s="1" t="s">
        <v>524</v>
      </c>
      <c r="G1085" s="1">
        <v>37854</v>
      </c>
      <c r="H1085" s="1" t="s">
        <v>525</v>
      </c>
    </row>
    <row r="1086" spans="1:8" x14ac:dyDescent="0.35">
      <c r="A1086" s="1" t="s">
        <v>3769</v>
      </c>
      <c r="B1086" s="1" t="s">
        <v>3770</v>
      </c>
      <c r="C1086" s="1" t="s">
        <v>521</v>
      </c>
      <c r="D1086" s="1" t="s">
        <v>3771</v>
      </c>
      <c r="E1086" s="1" t="s">
        <v>1249</v>
      </c>
      <c r="F1086" s="1" t="s">
        <v>524</v>
      </c>
      <c r="G1086" s="1">
        <v>37854</v>
      </c>
      <c r="H1086" s="1" t="s">
        <v>525</v>
      </c>
    </row>
    <row r="1087" spans="1:8" x14ac:dyDescent="0.35">
      <c r="A1087" s="1" t="s">
        <v>3772</v>
      </c>
      <c r="B1087" s="1" t="s">
        <v>3773</v>
      </c>
      <c r="C1087" s="1" t="s">
        <v>521</v>
      </c>
      <c r="D1087" s="1" t="s">
        <v>3774</v>
      </c>
      <c r="E1087" s="1" t="s">
        <v>570</v>
      </c>
      <c r="F1087" s="1" t="s">
        <v>524</v>
      </c>
      <c r="G1087" s="1">
        <v>37840</v>
      </c>
      <c r="H1087" s="1" t="s">
        <v>525</v>
      </c>
    </row>
    <row r="1088" spans="1:8" x14ac:dyDescent="0.35">
      <c r="A1088" s="1" t="s">
        <v>3775</v>
      </c>
      <c r="B1088" s="1" t="s">
        <v>3776</v>
      </c>
      <c r="C1088" s="1" t="s">
        <v>521</v>
      </c>
      <c r="D1088" s="1" t="s">
        <v>3777</v>
      </c>
      <c r="E1088" s="1" t="s">
        <v>3778</v>
      </c>
      <c r="F1088" s="1" t="s">
        <v>524</v>
      </c>
      <c r="G1088" s="1">
        <v>37172</v>
      </c>
      <c r="H1088" s="1" t="s">
        <v>525</v>
      </c>
    </row>
    <row r="1089" spans="1:8" x14ac:dyDescent="0.35">
      <c r="A1089" s="1" t="s">
        <v>3779</v>
      </c>
      <c r="B1089" s="1" t="s">
        <v>3780</v>
      </c>
      <c r="C1089" s="1" t="s">
        <v>521</v>
      </c>
      <c r="D1089" s="1" t="s">
        <v>3781</v>
      </c>
      <c r="E1089" s="1" t="s">
        <v>3778</v>
      </c>
      <c r="F1089" s="1" t="s">
        <v>524</v>
      </c>
      <c r="G1089" s="1">
        <v>37172</v>
      </c>
      <c r="H1089" s="1" t="s">
        <v>525</v>
      </c>
    </row>
    <row r="1090" spans="1:8" x14ac:dyDescent="0.35">
      <c r="A1090" s="1" t="s">
        <v>3782</v>
      </c>
      <c r="B1090" s="1" t="s">
        <v>3783</v>
      </c>
      <c r="C1090" s="1" t="s">
        <v>521</v>
      </c>
      <c r="D1090" s="1" t="s">
        <v>3784</v>
      </c>
      <c r="E1090" s="1" t="s">
        <v>3778</v>
      </c>
      <c r="F1090" s="1" t="s">
        <v>524</v>
      </c>
      <c r="G1090" s="1">
        <v>37172</v>
      </c>
      <c r="H1090" s="1" t="s">
        <v>525</v>
      </c>
    </row>
    <row r="1091" spans="1:8" x14ac:dyDescent="0.35">
      <c r="A1091" s="1" t="s">
        <v>3785</v>
      </c>
      <c r="B1091" s="1" t="s">
        <v>3786</v>
      </c>
      <c r="C1091" s="1" t="s">
        <v>521</v>
      </c>
      <c r="D1091" s="1" t="s">
        <v>3787</v>
      </c>
      <c r="E1091" s="1" t="s">
        <v>3778</v>
      </c>
      <c r="F1091" s="1" t="s">
        <v>524</v>
      </c>
      <c r="G1091" s="1">
        <v>37172</v>
      </c>
      <c r="H1091" s="1" t="s">
        <v>525</v>
      </c>
    </row>
    <row r="1092" spans="1:8" x14ac:dyDescent="0.35">
      <c r="A1092" s="1" t="s">
        <v>3788</v>
      </c>
      <c r="B1092" s="1" t="s">
        <v>3789</v>
      </c>
      <c r="C1092" s="1" t="s">
        <v>521</v>
      </c>
      <c r="D1092" s="1" t="s">
        <v>3790</v>
      </c>
      <c r="E1092" s="1" t="s">
        <v>3791</v>
      </c>
      <c r="F1092" s="1" t="s">
        <v>524</v>
      </c>
      <c r="G1092" s="1">
        <v>37049</v>
      </c>
      <c r="H1092" s="1" t="s">
        <v>525</v>
      </c>
    </row>
    <row r="1093" spans="1:8" x14ac:dyDescent="0.35">
      <c r="A1093" s="1" t="s">
        <v>344</v>
      </c>
      <c r="B1093" s="1" t="s">
        <v>3792</v>
      </c>
      <c r="C1093" s="1" t="s">
        <v>521</v>
      </c>
      <c r="D1093" s="1" t="s">
        <v>3793</v>
      </c>
      <c r="E1093" s="1" t="s">
        <v>3791</v>
      </c>
      <c r="F1093" s="1" t="s">
        <v>524</v>
      </c>
      <c r="G1093" s="1">
        <v>37049</v>
      </c>
      <c r="H1093" s="1" t="s">
        <v>525</v>
      </c>
    </row>
    <row r="1094" spans="1:8" x14ac:dyDescent="0.35">
      <c r="A1094" s="1" t="s">
        <v>3794</v>
      </c>
      <c r="B1094" s="1" t="s">
        <v>3795</v>
      </c>
      <c r="C1094" s="1" t="s">
        <v>521</v>
      </c>
      <c r="D1094" s="1" t="s">
        <v>3796</v>
      </c>
      <c r="E1094" s="1" t="s">
        <v>3797</v>
      </c>
      <c r="F1094" s="1" t="s">
        <v>524</v>
      </c>
      <c r="G1094" s="1">
        <v>37073</v>
      </c>
      <c r="H1094" s="1" t="s">
        <v>525</v>
      </c>
    </row>
    <row r="1095" spans="1:8" x14ac:dyDescent="0.35">
      <c r="A1095" s="1" t="s">
        <v>3798</v>
      </c>
      <c r="B1095" s="1" t="s">
        <v>3799</v>
      </c>
      <c r="C1095" s="1" t="s">
        <v>521</v>
      </c>
      <c r="D1095" s="1" t="s">
        <v>3800</v>
      </c>
      <c r="E1095" s="1" t="s">
        <v>3797</v>
      </c>
      <c r="F1095" s="1" t="s">
        <v>524</v>
      </c>
      <c r="G1095" s="1">
        <v>37073</v>
      </c>
      <c r="H1095" s="1" t="s">
        <v>525</v>
      </c>
    </row>
    <row r="1096" spans="1:8" x14ac:dyDescent="0.35">
      <c r="A1096" s="1" t="s">
        <v>346</v>
      </c>
      <c r="B1096" s="1" t="s">
        <v>3801</v>
      </c>
      <c r="C1096" s="1" t="s">
        <v>521</v>
      </c>
      <c r="D1096" s="1" t="s">
        <v>3802</v>
      </c>
      <c r="E1096" s="1" t="s">
        <v>3797</v>
      </c>
      <c r="F1096" s="1" t="s">
        <v>524</v>
      </c>
      <c r="G1096" s="1">
        <v>37073</v>
      </c>
      <c r="H1096" s="1" t="s">
        <v>525</v>
      </c>
    </row>
    <row r="1097" spans="1:8" x14ac:dyDescent="0.35">
      <c r="A1097" s="1" t="s">
        <v>347</v>
      </c>
      <c r="B1097" s="1" t="s">
        <v>3803</v>
      </c>
      <c r="C1097" s="1" t="s">
        <v>521</v>
      </c>
      <c r="D1097" s="1" t="s">
        <v>3804</v>
      </c>
      <c r="E1097" s="1" t="s">
        <v>3805</v>
      </c>
      <c r="F1097" s="1" t="s">
        <v>524</v>
      </c>
      <c r="G1097" s="1">
        <v>37032</v>
      </c>
      <c r="H1097" s="1" t="s">
        <v>525</v>
      </c>
    </row>
    <row r="1098" spans="1:8" x14ac:dyDescent="0.35">
      <c r="A1098" s="1" t="s">
        <v>3806</v>
      </c>
      <c r="B1098" s="1" t="s">
        <v>3807</v>
      </c>
      <c r="C1098" s="1" t="s">
        <v>521</v>
      </c>
      <c r="D1098" s="1" t="s">
        <v>3808</v>
      </c>
      <c r="E1098" s="1" t="s">
        <v>3805</v>
      </c>
      <c r="F1098" s="1" t="s">
        <v>524</v>
      </c>
      <c r="G1098" s="1">
        <v>37032</v>
      </c>
      <c r="H1098" s="1" t="s">
        <v>525</v>
      </c>
    </row>
    <row r="1099" spans="1:8" x14ac:dyDescent="0.35">
      <c r="A1099" s="1" t="s">
        <v>3809</v>
      </c>
      <c r="B1099" s="1" t="s">
        <v>3810</v>
      </c>
      <c r="C1099" s="1" t="s">
        <v>521</v>
      </c>
      <c r="D1099" s="1" t="s">
        <v>3811</v>
      </c>
      <c r="E1099" s="1" t="s">
        <v>3778</v>
      </c>
      <c r="F1099" s="1" t="s">
        <v>524</v>
      </c>
      <c r="G1099" s="1">
        <v>37172</v>
      </c>
      <c r="H1099" s="1" t="s">
        <v>525</v>
      </c>
    </row>
    <row r="1100" spans="1:8" x14ac:dyDescent="0.35">
      <c r="A1100" s="1" t="s">
        <v>3812</v>
      </c>
      <c r="B1100" s="1" t="s">
        <v>3813</v>
      </c>
      <c r="C1100" s="1" t="s">
        <v>521</v>
      </c>
      <c r="D1100" s="1" t="s">
        <v>3814</v>
      </c>
      <c r="E1100" s="1" t="s">
        <v>3815</v>
      </c>
      <c r="F1100" s="1" t="s">
        <v>524</v>
      </c>
      <c r="G1100" s="1">
        <v>37188</v>
      </c>
      <c r="H1100" s="1" t="s">
        <v>525</v>
      </c>
    </row>
    <row r="1101" spans="1:8" x14ac:dyDescent="0.35">
      <c r="A1101" s="1" t="s">
        <v>348</v>
      </c>
      <c r="B1101" s="1" t="s">
        <v>3816</v>
      </c>
      <c r="C1101" s="1" t="s">
        <v>521</v>
      </c>
      <c r="D1101" s="1" t="s">
        <v>3817</v>
      </c>
      <c r="E1101" s="1" t="s">
        <v>3778</v>
      </c>
      <c r="F1101" s="1" t="s">
        <v>524</v>
      </c>
      <c r="G1101" s="1">
        <v>37172</v>
      </c>
      <c r="H1101" s="1" t="s">
        <v>525</v>
      </c>
    </row>
    <row r="1102" spans="1:8" x14ac:dyDescent="0.35">
      <c r="A1102" s="1" t="s">
        <v>3818</v>
      </c>
      <c r="B1102" s="1" t="s">
        <v>3819</v>
      </c>
      <c r="C1102" s="1" t="s">
        <v>521</v>
      </c>
      <c r="D1102" s="1" t="s">
        <v>3820</v>
      </c>
      <c r="E1102" s="1" t="s">
        <v>3778</v>
      </c>
      <c r="F1102" s="1" t="s">
        <v>524</v>
      </c>
      <c r="G1102" s="1">
        <v>37172</v>
      </c>
      <c r="H1102" s="1" t="s">
        <v>525</v>
      </c>
    </row>
    <row r="1103" spans="1:8" x14ac:dyDescent="0.35">
      <c r="A1103" s="1" t="s">
        <v>3821</v>
      </c>
      <c r="B1103" s="1" t="s">
        <v>3822</v>
      </c>
      <c r="C1103" s="1" t="s">
        <v>521</v>
      </c>
      <c r="D1103" s="1" t="s">
        <v>3823</v>
      </c>
      <c r="E1103" s="1" t="s">
        <v>3824</v>
      </c>
      <c r="F1103" s="1" t="s">
        <v>524</v>
      </c>
      <c r="G1103" s="1">
        <v>37152</v>
      </c>
      <c r="H1103" s="1" t="s">
        <v>525</v>
      </c>
    </row>
    <row r="1104" spans="1:8" x14ac:dyDescent="0.35">
      <c r="A1104" s="1" t="s">
        <v>3825</v>
      </c>
      <c r="B1104" s="1" t="s">
        <v>3122</v>
      </c>
      <c r="C1104" s="1" t="s">
        <v>521</v>
      </c>
      <c r="D1104" s="1" t="s">
        <v>3826</v>
      </c>
      <c r="E1104" s="1" t="s">
        <v>3778</v>
      </c>
      <c r="F1104" s="1" t="s">
        <v>524</v>
      </c>
      <c r="G1104" s="1">
        <v>37172</v>
      </c>
      <c r="H1104" s="1" t="s">
        <v>525</v>
      </c>
    </row>
    <row r="1105" spans="1:8" x14ac:dyDescent="0.35">
      <c r="A1105" s="1" t="s">
        <v>3827</v>
      </c>
      <c r="B1105" s="1" t="s">
        <v>3828</v>
      </c>
      <c r="C1105" s="1" t="s">
        <v>521</v>
      </c>
      <c r="D1105" s="1" t="s">
        <v>3829</v>
      </c>
      <c r="E1105" s="1" t="s">
        <v>3815</v>
      </c>
      <c r="F1105" s="1" t="s">
        <v>524</v>
      </c>
      <c r="G1105" s="1">
        <v>37188</v>
      </c>
      <c r="H1105" s="1" t="s">
        <v>525</v>
      </c>
    </row>
    <row r="1106" spans="1:8" x14ac:dyDescent="0.35">
      <c r="A1106" s="1" t="s">
        <v>349</v>
      </c>
      <c r="B1106" s="1" t="s">
        <v>3830</v>
      </c>
      <c r="C1106" s="1" t="s">
        <v>521</v>
      </c>
      <c r="D1106" s="1" t="s">
        <v>3831</v>
      </c>
      <c r="E1106" s="1" t="s">
        <v>3815</v>
      </c>
      <c r="F1106" s="1" t="s">
        <v>524</v>
      </c>
      <c r="G1106" s="1">
        <v>37188</v>
      </c>
      <c r="H1106" s="1" t="s">
        <v>525</v>
      </c>
    </row>
    <row r="1107" spans="1:8" x14ac:dyDescent="0.35">
      <c r="A1107" s="1" t="s">
        <v>350</v>
      </c>
      <c r="B1107" s="1" t="s">
        <v>3832</v>
      </c>
      <c r="C1107" s="1" t="s">
        <v>521</v>
      </c>
      <c r="D1107" s="1" t="s">
        <v>3833</v>
      </c>
      <c r="E1107" s="1" t="s">
        <v>3778</v>
      </c>
      <c r="F1107" s="1" t="s">
        <v>524</v>
      </c>
      <c r="G1107" s="1">
        <v>37172</v>
      </c>
      <c r="H1107" s="1" t="s">
        <v>525</v>
      </c>
    </row>
    <row r="1108" spans="1:8" x14ac:dyDescent="0.35">
      <c r="A1108" s="1" t="s">
        <v>3834</v>
      </c>
      <c r="B1108" s="1" t="s">
        <v>3835</v>
      </c>
      <c r="C1108" s="1" t="s">
        <v>521</v>
      </c>
      <c r="D1108" s="1" t="s">
        <v>3836</v>
      </c>
      <c r="E1108" s="1" t="s">
        <v>3837</v>
      </c>
      <c r="F1108" s="1" t="s">
        <v>524</v>
      </c>
      <c r="G1108" s="1">
        <v>37128</v>
      </c>
      <c r="H1108" s="1" t="s">
        <v>525</v>
      </c>
    </row>
    <row r="1109" spans="1:8" x14ac:dyDescent="0.35">
      <c r="A1109" s="1" t="s">
        <v>3838</v>
      </c>
      <c r="B1109" s="1" t="s">
        <v>3839</v>
      </c>
      <c r="C1109" s="1" t="s">
        <v>521</v>
      </c>
      <c r="D1109" s="1" t="s">
        <v>3840</v>
      </c>
      <c r="E1109" s="1" t="s">
        <v>3837</v>
      </c>
      <c r="F1109" s="1" t="s">
        <v>524</v>
      </c>
      <c r="G1109" s="1">
        <v>37128</v>
      </c>
      <c r="H1109" s="1" t="s">
        <v>525</v>
      </c>
    </row>
    <row r="1110" spans="1:8" x14ac:dyDescent="0.35">
      <c r="A1110" s="1" t="s">
        <v>3841</v>
      </c>
      <c r="B1110" s="1" t="s">
        <v>3842</v>
      </c>
      <c r="C1110" s="1" t="s">
        <v>521</v>
      </c>
      <c r="D1110" s="1" t="s">
        <v>3843</v>
      </c>
      <c r="E1110" s="1" t="s">
        <v>3837</v>
      </c>
      <c r="F1110" s="1" t="s">
        <v>524</v>
      </c>
      <c r="G1110" s="1">
        <v>37128</v>
      </c>
      <c r="H1110" s="1" t="s">
        <v>525</v>
      </c>
    </row>
    <row r="1111" spans="1:8" x14ac:dyDescent="0.35">
      <c r="A1111" s="1" t="s">
        <v>351</v>
      </c>
      <c r="B1111" s="1" t="s">
        <v>3844</v>
      </c>
      <c r="C1111" s="1" t="s">
        <v>521</v>
      </c>
      <c r="D1111" s="1" t="s">
        <v>3845</v>
      </c>
      <c r="E1111" s="1" t="s">
        <v>3837</v>
      </c>
      <c r="F1111" s="1" t="s">
        <v>524</v>
      </c>
      <c r="G1111" s="1">
        <v>37128</v>
      </c>
      <c r="H1111" s="1" t="s">
        <v>525</v>
      </c>
    </row>
    <row r="1112" spans="1:8" x14ac:dyDescent="0.35">
      <c r="A1112" s="1" t="s">
        <v>3846</v>
      </c>
      <c r="B1112" s="1" t="s">
        <v>3847</v>
      </c>
      <c r="C1112" s="1" t="s">
        <v>521</v>
      </c>
      <c r="D1112" s="1" t="s">
        <v>3848</v>
      </c>
      <c r="E1112" s="1" t="s">
        <v>3837</v>
      </c>
      <c r="F1112" s="1" t="s">
        <v>524</v>
      </c>
      <c r="G1112" s="1">
        <v>37127</v>
      </c>
      <c r="H1112" s="1" t="s">
        <v>525</v>
      </c>
    </row>
    <row r="1113" spans="1:8" x14ac:dyDescent="0.35">
      <c r="A1113" s="1" t="s">
        <v>3849</v>
      </c>
      <c r="B1113" s="1" t="s">
        <v>3850</v>
      </c>
      <c r="C1113" s="1" t="s">
        <v>521</v>
      </c>
      <c r="D1113" s="1" t="s">
        <v>3851</v>
      </c>
      <c r="E1113" s="1" t="s">
        <v>3852</v>
      </c>
      <c r="F1113" s="1" t="s">
        <v>524</v>
      </c>
      <c r="G1113" s="1">
        <v>37167</v>
      </c>
      <c r="H1113" s="1" t="s">
        <v>525</v>
      </c>
    </row>
    <row r="1114" spans="1:8" x14ac:dyDescent="0.35">
      <c r="A1114" s="1" t="s">
        <v>353</v>
      </c>
      <c r="B1114" s="1" t="s">
        <v>3853</v>
      </c>
      <c r="C1114" s="1" t="s">
        <v>521</v>
      </c>
      <c r="D1114" s="1" t="s">
        <v>3854</v>
      </c>
      <c r="E1114" s="1" t="s">
        <v>3837</v>
      </c>
      <c r="F1114" s="1" t="s">
        <v>524</v>
      </c>
      <c r="G1114" s="1">
        <v>37130</v>
      </c>
      <c r="H1114" s="1" t="s">
        <v>525</v>
      </c>
    </row>
    <row r="1115" spans="1:8" x14ac:dyDescent="0.35">
      <c r="A1115" s="1" t="s">
        <v>3855</v>
      </c>
      <c r="B1115" s="1" t="s">
        <v>3856</v>
      </c>
      <c r="C1115" s="1" t="s">
        <v>521</v>
      </c>
      <c r="D1115" s="1" t="s">
        <v>3857</v>
      </c>
      <c r="E1115" s="1" t="s">
        <v>3837</v>
      </c>
      <c r="F1115" s="1" t="s">
        <v>524</v>
      </c>
      <c r="G1115" s="1">
        <v>37130</v>
      </c>
      <c r="H1115" s="1" t="s">
        <v>525</v>
      </c>
    </row>
    <row r="1116" spans="1:8" x14ac:dyDescent="0.35">
      <c r="A1116" s="1" t="s">
        <v>3858</v>
      </c>
      <c r="B1116" s="1" t="s">
        <v>3859</v>
      </c>
      <c r="C1116" s="1" t="s">
        <v>521</v>
      </c>
      <c r="D1116" s="1" t="s">
        <v>3860</v>
      </c>
      <c r="E1116" s="1" t="s">
        <v>3861</v>
      </c>
      <c r="F1116" s="1" t="s">
        <v>524</v>
      </c>
      <c r="G1116" s="1">
        <v>37037</v>
      </c>
      <c r="H1116" s="1" t="s">
        <v>525</v>
      </c>
    </row>
    <row r="1117" spans="1:8" x14ac:dyDescent="0.35">
      <c r="A1117" s="1" t="s">
        <v>3862</v>
      </c>
      <c r="B1117" s="1" t="s">
        <v>3863</v>
      </c>
      <c r="C1117" s="1" t="s">
        <v>521</v>
      </c>
      <c r="D1117" s="1" t="s">
        <v>3864</v>
      </c>
      <c r="E1117" s="1" t="s">
        <v>3837</v>
      </c>
      <c r="F1117" s="1" t="s">
        <v>524</v>
      </c>
      <c r="G1117" s="1">
        <v>37127</v>
      </c>
      <c r="H1117" s="1" t="s">
        <v>525</v>
      </c>
    </row>
    <row r="1118" spans="1:8" x14ac:dyDescent="0.35">
      <c r="A1118" s="1" t="s">
        <v>3865</v>
      </c>
      <c r="B1118" s="1" t="s">
        <v>3866</v>
      </c>
      <c r="C1118" s="1" t="s">
        <v>521</v>
      </c>
      <c r="D1118" s="1" t="s">
        <v>3867</v>
      </c>
      <c r="E1118" s="1" t="s">
        <v>3861</v>
      </c>
      <c r="F1118" s="1" t="s">
        <v>524</v>
      </c>
      <c r="G1118" s="1">
        <v>37037</v>
      </c>
      <c r="H1118" s="1" t="s">
        <v>525</v>
      </c>
    </row>
    <row r="1119" spans="1:8" x14ac:dyDescent="0.35">
      <c r="A1119" s="1" t="s">
        <v>3868</v>
      </c>
      <c r="B1119" s="1" t="s">
        <v>3869</v>
      </c>
      <c r="C1119" s="1" t="s">
        <v>521</v>
      </c>
      <c r="D1119" s="1" t="s">
        <v>3870</v>
      </c>
      <c r="E1119" s="1" t="s">
        <v>3852</v>
      </c>
      <c r="F1119" s="1" t="s">
        <v>524</v>
      </c>
      <c r="G1119" s="1">
        <v>37167</v>
      </c>
      <c r="H1119" s="1" t="s">
        <v>525</v>
      </c>
    </row>
    <row r="1120" spans="1:8" x14ac:dyDescent="0.35">
      <c r="A1120" s="1" t="s">
        <v>3871</v>
      </c>
      <c r="B1120" s="1" t="s">
        <v>3872</v>
      </c>
      <c r="C1120" s="1" t="s">
        <v>521</v>
      </c>
      <c r="D1120" s="1" t="s">
        <v>3873</v>
      </c>
      <c r="E1120" s="1" t="s">
        <v>3852</v>
      </c>
      <c r="F1120" s="1" t="s">
        <v>524</v>
      </c>
      <c r="G1120" s="1">
        <v>37167</v>
      </c>
      <c r="H1120" s="1" t="s">
        <v>525</v>
      </c>
    </row>
    <row r="1121" spans="1:8" x14ac:dyDescent="0.35">
      <c r="A1121" s="1" t="s">
        <v>354</v>
      </c>
      <c r="B1121" s="1" t="s">
        <v>3874</v>
      </c>
      <c r="C1121" s="1" t="s">
        <v>521</v>
      </c>
      <c r="D1121" s="1" t="s">
        <v>3875</v>
      </c>
      <c r="E1121" s="1" t="s">
        <v>3876</v>
      </c>
      <c r="F1121" s="1" t="s">
        <v>524</v>
      </c>
      <c r="G1121" s="1">
        <v>37060</v>
      </c>
      <c r="H1121" s="1" t="s">
        <v>525</v>
      </c>
    </row>
    <row r="1122" spans="1:8" x14ac:dyDescent="0.35">
      <c r="A1122" s="1" t="s">
        <v>355</v>
      </c>
      <c r="B1122" s="1" t="s">
        <v>3877</v>
      </c>
      <c r="C1122" s="1" t="s">
        <v>521</v>
      </c>
      <c r="D1122" s="1" t="s">
        <v>3878</v>
      </c>
      <c r="E1122" s="1" t="s">
        <v>3837</v>
      </c>
      <c r="F1122" s="1" t="s">
        <v>524</v>
      </c>
      <c r="G1122" s="1">
        <v>37130</v>
      </c>
      <c r="H1122" s="1" t="s">
        <v>525</v>
      </c>
    </row>
    <row r="1123" spans="1:8" x14ac:dyDescent="0.35">
      <c r="A1123" s="1" t="s">
        <v>3879</v>
      </c>
      <c r="B1123" s="1" t="s">
        <v>3880</v>
      </c>
      <c r="C1123" s="1" t="s">
        <v>521</v>
      </c>
      <c r="D1123" s="1" t="s">
        <v>3881</v>
      </c>
      <c r="E1123" s="1" t="s">
        <v>3837</v>
      </c>
      <c r="F1123" s="1" t="s">
        <v>524</v>
      </c>
      <c r="G1123" s="1">
        <v>37129</v>
      </c>
      <c r="H1123" s="1" t="s">
        <v>525</v>
      </c>
    </row>
    <row r="1124" spans="1:8" x14ac:dyDescent="0.35">
      <c r="A1124" s="1" t="s">
        <v>3882</v>
      </c>
      <c r="B1124" s="1" t="s">
        <v>3883</v>
      </c>
      <c r="C1124" s="1" t="s">
        <v>521</v>
      </c>
      <c r="D1124" s="1" t="s">
        <v>3884</v>
      </c>
      <c r="E1124" s="1" t="s">
        <v>904</v>
      </c>
      <c r="F1124" s="1" t="s">
        <v>524</v>
      </c>
      <c r="G1124" s="1">
        <v>37149</v>
      </c>
      <c r="H1124" s="1" t="s">
        <v>525</v>
      </c>
    </row>
    <row r="1125" spans="1:8" x14ac:dyDescent="0.35">
      <c r="A1125" s="1" t="s">
        <v>3885</v>
      </c>
      <c r="B1125" s="1" t="s">
        <v>3886</v>
      </c>
      <c r="C1125" s="1" t="s">
        <v>521</v>
      </c>
      <c r="D1125" s="1" t="s">
        <v>3887</v>
      </c>
      <c r="E1125" s="1" t="s">
        <v>3888</v>
      </c>
      <c r="F1125" s="1" t="s">
        <v>524</v>
      </c>
      <c r="G1125" s="1">
        <v>37085</v>
      </c>
      <c r="H1125" s="1" t="s">
        <v>525</v>
      </c>
    </row>
    <row r="1126" spans="1:8" x14ac:dyDescent="0.35">
      <c r="A1126" s="1" t="s">
        <v>3889</v>
      </c>
      <c r="B1126" s="1" t="s">
        <v>3890</v>
      </c>
      <c r="C1126" s="1" t="s">
        <v>521</v>
      </c>
      <c r="D1126" s="1" t="s">
        <v>3891</v>
      </c>
      <c r="E1126" s="1" t="s">
        <v>3892</v>
      </c>
      <c r="F1126" s="1" t="s">
        <v>524</v>
      </c>
      <c r="G1126" s="1">
        <v>37086</v>
      </c>
      <c r="H1126" s="1" t="s">
        <v>525</v>
      </c>
    </row>
    <row r="1127" spans="1:8" x14ac:dyDescent="0.35">
      <c r="A1127" s="1" t="s">
        <v>3893</v>
      </c>
      <c r="B1127" s="1" t="s">
        <v>3894</v>
      </c>
      <c r="C1127" s="1" t="s">
        <v>521</v>
      </c>
      <c r="D1127" s="1" t="s">
        <v>3895</v>
      </c>
      <c r="E1127" s="1" t="s">
        <v>3852</v>
      </c>
      <c r="F1127" s="1" t="s">
        <v>524</v>
      </c>
      <c r="G1127" s="1">
        <v>37167</v>
      </c>
      <c r="H1127" s="1" t="s">
        <v>525</v>
      </c>
    </row>
    <row r="1128" spans="1:8" x14ac:dyDescent="0.35">
      <c r="A1128" s="1" t="s">
        <v>3896</v>
      </c>
      <c r="B1128" s="1" t="s">
        <v>3897</v>
      </c>
      <c r="C1128" s="1" t="s">
        <v>521</v>
      </c>
      <c r="D1128" s="1" t="s">
        <v>3898</v>
      </c>
      <c r="E1128" s="1" t="s">
        <v>3899</v>
      </c>
      <c r="F1128" s="1" t="s">
        <v>524</v>
      </c>
      <c r="G1128" s="1">
        <v>37086</v>
      </c>
      <c r="H1128" s="1" t="s">
        <v>525</v>
      </c>
    </row>
    <row r="1129" spans="1:8" x14ac:dyDescent="0.35">
      <c r="A1129" s="1" t="s">
        <v>3900</v>
      </c>
      <c r="B1129" s="1" t="s">
        <v>3901</v>
      </c>
      <c r="C1129" s="1" t="s">
        <v>521</v>
      </c>
      <c r="D1129" s="1" t="s">
        <v>3902</v>
      </c>
      <c r="E1129" s="1" t="s">
        <v>3892</v>
      </c>
      <c r="F1129" s="1" t="s">
        <v>524</v>
      </c>
      <c r="G1129" s="1">
        <v>37086</v>
      </c>
      <c r="H1129" s="1" t="s">
        <v>525</v>
      </c>
    </row>
    <row r="1130" spans="1:8" x14ac:dyDescent="0.35">
      <c r="A1130" s="1" t="s">
        <v>3903</v>
      </c>
      <c r="B1130" s="1" t="s">
        <v>3904</v>
      </c>
      <c r="C1130" s="1" t="s">
        <v>521</v>
      </c>
      <c r="D1130" s="1" t="s">
        <v>3905</v>
      </c>
      <c r="E1130" s="1" t="s">
        <v>3906</v>
      </c>
      <c r="F1130" s="1" t="s">
        <v>524</v>
      </c>
      <c r="G1130" s="1">
        <v>37086</v>
      </c>
      <c r="H1130" s="1" t="s">
        <v>525</v>
      </c>
    </row>
    <row r="1131" spans="1:8" x14ac:dyDescent="0.35">
      <c r="A1131" s="1" t="s">
        <v>356</v>
      </c>
      <c r="B1131" s="1" t="s">
        <v>3907</v>
      </c>
      <c r="C1131" s="1" t="s">
        <v>521</v>
      </c>
      <c r="D1131" s="1" t="s">
        <v>3908</v>
      </c>
      <c r="E1131" s="1" t="s">
        <v>3892</v>
      </c>
      <c r="F1131" s="1" t="s">
        <v>524</v>
      </c>
      <c r="G1131" s="1">
        <v>37086</v>
      </c>
      <c r="H1131" s="1" t="s">
        <v>525</v>
      </c>
    </row>
    <row r="1132" spans="1:8" x14ac:dyDescent="0.35">
      <c r="A1132" s="1" t="s">
        <v>3909</v>
      </c>
      <c r="B1132" s="1" t="s">
        <v>3910</v>
      </c>
      <c r="C1132" s="1" t="s">
        <v>521</v>
      </c>
      <c r="D1132" s="1" t="s">
        <v>3911</v>
      </c>
      <c r="E1132" s="1" t="s">
        <v>3837</v>
      </c>
      <c r="F1132" s="1" t="s">
        <v>524</v>
      </c>
      <c r="G1132" s="1">
        <v>37132</v>
      </c>
      <c r="H1132" s="1" t="s">
        <v>525</v>
      </c>
    </row>
    <row r="1133" spans="1:8" x14ac:dyDescent="0.35">
      <c r="A1133" s="1" t="s">
        <v>3912</v>
      </c>
      <c r="B1133" s="1" t="s">
        <v>3913</v>
      </c>
      <c r="C1133" s="1" t="s">
        <v>521</v>
      </c>
      <c r="D1133" s="1" t="s">
        <v>3914</v>
      </c>
      <c r="E1133" s="1" t="s">
        <v>3837</v>
      </c>
      <c r="F1133" s="1" t="s">
        <v>524</v>
      </c>
      <c r="G1133" s="1">
        <v>37129</v>
      </c>
      <c r="H1133" s="1" t="s">
        <v>525</v>
      </c>
    </row>
    <row r="1134" spans="1:8" x14ac:dyDescent="0.35">
      <c r="A1134" s="1" t="s">
        <v>357</v>
      </c>
      <c r="B1134" s="1" t="s">
        <v>3915</v>
      </c>
      <c r="C1134" s="1" t="s">
        <v>521</v>
      </c>
      <c r="D1134" s="1" t="s">
        <v>3916</v>
      </c>
      <c r="E1134" s="1" t="s">
        <v>3837</v>
      </c>
      <c r="F1134" s="1" t="s">
        <v>524</v>
      </c>
      <c r="G1134" s="1">
        <v>37130</v>
      </c>
      <c r="H1134" s="1" t="s">
        <v>525</v>
      </c>
    </row>
    <row r="1135" spans="1:8" x14ac:dyDescent="0.35">
      <c r="A1135" s="1" t="s">
        <v>358</v>
      </c>
      <c r="B1135" s="1" t="s">
        <v>3917</v>
      </c>
      <c r="C1135" s="1" t="s">
        <v>521</v>
      </c>
      <c r="D1135" s="1" t="s">
        <v>3918</v>
      </c>
      <c r="E1135" s="1" t="s">
        <v>3837</v>
      </c>
      <c r="F1135" s="1" t="s">
        <v>524</v>
      </c>
      <c r="G1135" s="1">
        <v>37128</v>
      </c>
      <c r="H1135" s="1" t="s">
        <v>525</v>
      </c>
    </row>
    <row r="1136" spans="1:8" x14ac:dyDescent="0.35">
      <c r="A1136" s="1" t="s">
        <v>3919</v>
      </c>
      <c r="B1136" s="1" t="s">
        <v>3920</v>
      </c>
      <c r="C1136" s="1" t="s">
        <v>521</v>
      </c>
      <c r="D1136" s="1" t="s">
        <v>3921</v>
      </c>
      <c r="E1136" s="1" t="s">
        <v>3922</v>
      </c>
      <c r="F1136" s="1" t="s">
        <v>524</v>
      </c>
      <c r="G1136" s="1">
        <v>37153</v>
      </c>
      <c r="H1136" s="1" t="s">
        <v>525</v>
      </c>
    </row>
    <row r="1137" spans="1:8" x14ac:dyDescent="0.35">
      <c r="A1137" s="1" t="s">
        <v>3923</v>
      </c>
      <c r="B1137" s="1" t="s">
        <v>3924</v>
      </c>
      <c r="C1137" s="1" t="s">
        <v>521</v>
      </c>
      <c r="D1137" s="1" t="s">
        <v>3925</v>
      </c>
      <c r="E1137" s="1" t="s">
        <v>3892</v>
      </c>
      <c r="F1137" s="1" t="s">
        <v>524</v>
      </c>
      <c r="G1137" s="1">
        <v>37086</v>
      </c>
      <c r="H1137" s="1" t="s">
        <v>525</v>
      </c>
    </row>
    <row r="1138" spans="1:8" x14ac:dyDescent="0.35">
      <c r="A1138" s="1" t="s">
        <v>3926</v>
      </c>
      <c r="B1138" s="1" t="s">
        <v>3927</v>
      </c>
      <c r="C1138" s="1" t="s">
        <v>521</v>
      </c>
      <c r="D1138" s="1" t="s">
        <v>3928</v>
      </c>
      <c r="E1138" s="1" t="s">
        <v>3922</v>
      </c>
      <c r="F1138" s="1" t="s">
        <v>524</v>
      </c>
      <c r="G1138" s="1">
        <v>37153</v>
      </c>
      <c r="H1138" s="1" t="s">
        <v>525</v>
      </c>
    </row>
    <row r="1139" spans="1:8" x14ac:dyDescent="0.35">
      <c r="A1139" s="1" t="s">
        <v>3929</v>
      </c>
      <c r="B1139" s="1" t="s">
        <v>3930</v>
      </c>
      <c r="C1139" s="1" t="s">
        <v>521</v>
      </c>
      <c r="D1139" s="1" t="s">
        <v>3931</v>
      </c>
      <c r="E1139" s="1" t="s">
        <v>3852</v>
      </c>
      <c r="F1139" s="1" t="s">
        <v>524</v>
      </c>
      <c r="G1139" s="1">
        <v>37167</v>
      </c>
      <c r="H1139" s="1" t="s">
        <v>525</v>
      </c>
    </row>
    <row r="1140" spans="1:8" x14ac:dyDescent="0.35">
      <c r="A1140" s="1" t="s">
        <v>3932</v>
      </c>
      <c r="B1140" s="1" t="s">
        <v>3933</v>
      </c>
      <c r="C1140" s="1" t="s">
        <v>521</v>
      </c>
      <c r="D1140" s="1" t="s">
        <v>3934</v>
      </c>
      <c r="E1140" s="1" t="s">
        <v>3852</v>
      </c>
      <c r="F1140" s="1" t="s">
        <v>524</v>
      </c>
      <c r="G1140" s="1">
        <v>37167</v>
      </c>
      <c r="H1140" s="1" t="s">
        <v>525</v>
      </c>
    </row>
    <row r="1141" spans="1:8" x14ac:dyDescent="0.35">
      <c r="A1141" s="1" t="s">
        <v>359</v>
      </c>
      <c r="B1141" s="1" t="s">
        <v>3935</v>
      </c>
      <c r="C1141" s="1" t="s">
        <v>521</v>
      </c>
      <c r="D1141" s="1" t="s">
        <v>3936</v>
      </c>
      <c r="E1141" s="1" t="s">
        <v>3852</v>
      </c>
      <c r="F1141" s="1" t="s">
        <v>524</v>
      </c>
      <c r="G1141" s="1">
        <v>37167</v>
      </c>
      <c r="H1141" s="1" t="s">
        <v>525</v>
      </c>
    </row>
    <row r="1142" spans="1:8" x14ac:dyDescent="0.35">
      <c r="A1142" s="1" t="s">
        <v>3937</v>
      </c>
      <c r="B1142" s="1" t="s">
        <v>3938</v>
      </c>
      <c r="C1142" s="1" t="s">
        <v>521</v>
      </c>
      <c r="D1142" s="1" t="s">
        <v>3939</v>
      </c>
      <c r="E1142" s="1" t="s">
        <v>3852</v>
      </c>
      <c r="F1142" s="1" t="s">
        <v>524</v>
      </c>
      <c r="G1142" s="1">
        <v>37167</v>
      </c>
      <c r="H1142" s="1" t="s">
        <v>525</v>
      </c>
    </row>
    <row r="1143" spans="1:8" x14ac:dyDescent="0.35">
      <c r="A1143" s="1" t="s">
        <v>3940</v>
      </c>
      <c r="B1143" s="1" t="s">
        <v>3941</v>
      </c>
      <c r="C1143" s="1" t="s">
        <v>521</v>
      </c>
      <c r="D1143" s="1" t="s">
        <v>3942</v>
      </c>
      <c r="E1143" s="1" t="s">
        <v>3837</v>
      </c>
      <c r="F1143" s="1" t="s">
        <v>524</v>
      </c>
      <c r="G1143" s="1">
        <v>37129</v>
      </c>
      <c r="H1143" s="1" t="s">
        <v>525</v>
      </c>
    </row>
    <row r="1144" spans="1:8" x14ac:dyDescent="0.35">
      <c r="A1144" s="1" t="s">
        <v>360</v>
      </c>
      <c r="B1144" s="1" t="s">
        <v>3943</v>
      </c>
      <c r="C1144" s="1" t="s">
        <v>521</v>
      </c>
      <c r="D1144" s="1" t="s">
        <v>3944</v>
      </c>
      <c r="E1144" s="1" t="s">
        <v>3837</v>
      </c>
      <c r="F1144" s="1" t="s">
        <v>524</v>
      </c>
      <c r="G1144" s="1">
        <v>37129</v>
      </c>
      <c r="H1144" s="1" t="s">
        <v>525</v>
      </c>
    </row>
    <row r="1145" spans="1:8" x14ac:dyDescent="0.35">
      <c r="A1145" s="1" t="s">
        <v>3945</v>
      </c>
      <c r="B1145" s="1" t="s">
        <v>3946</v>
      </c>
      <c r="C1145" s="1" t="s">
        <v>521</v>
      </c>
      <c r="D1145" s="1" t="s">
        <v>3947</v>
      </c>
      <c r="E1145" s="1" t="s">
        <v>3852</v>
      </c>
      <c r="F1145" s="1" t="s">
        <v>524</v>
      </c>
      <c r="G1145" s="1">
        <v>37167</v>
      </c>
      <c r="H1145" s="1" t="s">
        <v>525</v>
      </c>
    </row>
    <row r="1146" spans="1:8" x14ac:dyDescent="0.35">
      <c r="A1146" s="1" t="s">
        <v>3948</v>
      </c>
      <c r="B1146" s="1" t="s">
        <v>3949</v>
      </c>
      <c r="C1146" s="1" t="s">
        <v>521</v>
      </c>
      <c r="D1146" s="1" t="s">
        <v>3950</v>
      </c>
      <c r="E1146" s="1" t="s">
        <v>3837</v>
      </c>
      <c r="F1146" s="1" t="s">
        <v>524</v>
      </c>
      <c r="G1146" s="1">
        <v>37129</v>
      </c>
      <c r="H1146" s="1" t="s">
        <v>525</v>
      </c>
    </row>
    <row r="1147" spans="1:8" x14ac:dyDescent="0.35">
      <c r="A1147" s="1" t="s">
        <v>3951</v>
      </c>
      <c r="B1147" s="1" t="s">
        <v>3952</v>
      </c>
      <c r="C1147" s="1" t="s">
        <v>521</v>
      </c>
      <c r="D1147" s="1" t="s">
        <v>3953</v>
      </c>
      <c r="E1147" s="1" t="s">
        <v>3837</v>
      </c>
      <c r="F1147" s="1" t="s">
        <v>524</v>
      </c>
      <c r="G1147" s="1">
        <v>37129</v>
      </c>
      <c r="H1147" s="1" t="s">
        <v>525</v>
      </c>
    </row>
    <row r="1148" spans="1:8" x14ac:dyDescent="0.35">
      <c r="A1148" s="1" t="s">
        <v>3954</v>
      </c>
      <c r="B1148" s="1" t="s">
        <v>3955</v>
      </c>
      <c r="C1148" s="1" t="s">
        <v>521</v>
      </c>
      <c r="D1148" s="1" t="s">
        <v>3956</v>
      </c>
      <c r="E1148" s="1" t="s">
        <v>3852</v>
      </c>
      <c r="F1148" s="1" t="s">
        <v>524</v>
      </c>
      <c r="G1148" s="1">
        <v>37167</v>
      </c>
      <c r="H1148" s="1" t="s">
        <v>525</v>
      </c>
    </row>
    <row r="1149" spans="1:8" x14ac:dyDescent="0.35">
      <c r="A1149" s="1" t="s">
        <v>3957</v>
      </c>
      <c r="B1149" s="1" t="s">
        <v>3958</v>
      </c>
      <c r="C1149" s="1" t="s">
        <v>521</v>
      </c>
      <c r="D1149" s="1" t="s">
        <v>3959</v>
      </c>
      <c r="E1149" s="1" t="s">
        <v>3852</v>
      </c>
      <c r="F1149" s="1" t="s">
        <v>524</v>
      </c>
      <c r="G1149" s="1">
        <v>37167</v>
      </c>
      <c r="H1149" s="1" t="s">
        <v>525</v>
      </c>
    </row>
    <row r="1150" spans="1:8" x14ac:dyDescent="0.35">
      <c r="A1150" s="1" t="s">
        <v>3960</v>
      </c>
      <c r="B1150" s="1" t="s">
        <v>3961</v>
      </c>
      <c r="C1150" s="1" t="s">
        <v>521</v>
      </c>
      <c r="D1150" s="1" t="s">
        <v>3962</v>
      </c>
      <c r="E1150" s="1" t="s">
        <v>3852</v>
      </c>
      <c r="F1150" s="1" t="s">
        <v>524</v>
      </c>
      <c r="G1150" s="1">
        <v>37167</v>
      </c>
      <c r="H1150" s="1" t="s">
        <v>525</v>
      </c>
    </row>
    <row r="1151" spans="1:8" x14ac:dyDescent="0.35">
      <c r="A1151" s="1" t="s">
        <v>361</v>
      </c>
      <c r="B1151" s="1" t="s">
        <v>3963</v>
      </c>
      <c r="C1151" s="1" t="s">
        <v>521</v>
      </c>
      <c r="D1151" s="1" t="s">
        <v>3964</v>
      </c>
      <c r="E1151" s="1" t="s">
        <v>3852</v>
      </c>
      <c r="F1151" s="1" t="s">
        <v>524</v>
      </c>
      <c r="G1151" s="1">
        <v>37167</v>
      </c>
      <c r="H1151" s="1" t="s">
        <v>525</v>
      </c>
    </row>
    <row r="1152" spans="1:8" x14ac:dyDescent="0.35">
      <c r="A1152" s="1" t="s">
        <v>3965</v>
      </c>
      <c r="B1152" s="1" t="s">
        <v>3966</v>
      </c>
      <c r="C1152" s="1" t="s">
        <v>521</v>
      </c>
      <c r="D1152" s="1" t="s">
        <v>3967</v>
      </c>
      <c r="E1152" s="1" t="s">
        <v>3852</v>
      </c>
      <c r="F1152" s="1" t="s">
        <v>524</v>
      </c>
      <c r="G1152" s="1">
        <v>37167</v>
      </c>
      <c r="H1152" s="1" t="s">
        <v>525</v>
      </c>
    </row>
    <row r="1153" spans="1:8" x14ac:dyDescent="0.35">
      <c r="A1153" s="1" t="s">
        <v>3968</v>
      </c>
      <c r="B1153" s="1" t="s">
        <v>3969</v>
      </c>
      <c r="C1153" s="1" t="s">
        <v>521</v>
      </c>
      <c r="D1153" s="1" t="s">
        <v>3970</v>
      </c>
      <c r="E1153" s="1" t="s">
        <v>3837</v>
      </c>
      <c r="F1153" s="1" t="s">
        <v>524</v>
      </c>
      <c r="G1153" s="1">
        <v>37130</v>
      </c>
      <c r="H1153" s="1" t="s">
        <v>525</v>
      </c>
    </row>
    <row r="1154" spans="1:8" x14ac:dyDescent="0.35">
      <c r="A1154" s="1" t="s">
        <v>3971</v>
      </c>
      <c r="B1154" s="1" t="s">
        <v>3972</v>
      </c>
      <c r="C1154" s="1" t="s">
        <v>521</v>
      </c>
      <c r="D1154" s="1" t="s">
        <v>3973</v>
      </c>
      <c r="E1154" s="1" t="s">
        <v>3837</v>
      </c>
      <c r="F1154" s="1" t="s">
        <v>524</v>
      </c>
      <c r="G1154" s="1">
        <v>37130</v>
      </c>
      <c r="H1154" s="1" t="s">
        <v>525</v>
      </c>
    </row>
    <row r="1155" spans="1:8" x14ac:dyDescent="0.35">
      <c r="A1155" s="1" t="s">
        <v>3974</v>
      </c>
      <c r="B1155" s="1" t="s">
        <v>3975</v>
      </c>
      <c r="C1155" s="1" t="s">
        <v>521</v>
      </c>
      <c r="D1155" s="1" t="s">
        <v>3976</v>
      </c>
      <c r="E1155" s="1" t="s">
        <v>3837</v>
      </c>
      <c r="F1155" s="1" t="s">
        <v>524</v>
      </c>
      <c r="G1155" s="1">
        <v>37130</v>
      </c>
      <c r="H1155" s="1" t="s">
        <v>525</v>
      </c>
    </row>
    <row r="1156" spans="1:8" x14ac:dyDescent="0.35">
      <c r="A1156" s="1" t="s">
        <v>3977</v>
      </c>
      <c r="B1156" s="1" t="s">
        <v>3978</v>
      </c>
      <c r="C1156" s="1" t="s">
        <v>521</v>
      </c>
      <c r="D1156" s="1" t="s">
        <v>3979</v>
      </c>
      <c r="E1156" s="1" t="s">
        <v>3837</v>
      </c>
      <c r="F1156" s="1" t="s">
        <v>524</v>
      </c>
      <c r="G1156" s="1">
        <v>37128</v>
      </c>
      <c r="H1156" s="1" t="s">
        <v>525</v>
      </c>
    </row>
    <row r="1157" spans="1:8" x14ac:dyDescent="0.35">
      <c r="A1157" s="1" t="s">
        <v>3980</v>
      </c>
      <c r="B1157" s="1" t="s">
        <v>3981</v>
      </c>
      <c r="C1157" s="1" t="s">
        <v>521</v>
      </c>
      <c r="D1157" s="1" t="s">
        <v>3982</v>
      </c>
      <c r="E1157" s="1" t="s">
        <v>3837</v>
      </c>
      <c r="F1157" s="1" t="s">
        <v>524</v>
      </c>
      <c r="G1157" s="1">
        <v>37129</v>
      </c>
      <c r="H1157" s="1" t="s">
        <v>525</v>
      </c>
    </row>
    <row r="1158" spans="1:8" x14ac:dyDescent="0.35">
      <c r="A1158" s="1" t="s">
        <v>3983</v>
      </c>
      <c r="B1158" s="1" t="s">
        <v>3984</v>
      </c>
      <c r="C1158" s="1" t="s">
        <v>521</v>
      </c>
      <c r="D1158" s="1" t="s">
        <v>3985</v>
      </c>
      <c r="E1158" s="1" t="s">
        <v>3837</v>
      </c>
      <c r="F1158" s="1" t="s">
        <v>524</v>
      </c>
      <c r="G1158" s="1">
        <v>37130</v>
      </c>
      <c r="H1158" s="1" t="s">
        <v>525</v>
      </c>
    </row>
    <row r="1159" spans="1:8" x14ac:dyDescent="0.35">
      <c r="A1159" s="1" t="s">
        <v>3986</v>
      </c>
      <c r="B1159" s="1" t="s">
        <v>3987</v>
      </c>
      <c r="C1159" s="1" t="s">
        <v>521</v>
      </c>
      <c r="D1159" s="1" t="s">
        <v>3988</v>
      </c>
      <c r="E1159" s="1" t="s">
        <v>3837</v>
      </c>
      <c r="F1159" s="1" t="s">
        <v>524</v>
      </c>
      <c r="G1159" s="1">
        <v>37129</v>
      </c>
      <c r="H1159" s="1" t="s">
        <v>525</v>
      </c>
    </row>
    <row r="1160" spans="1:8" x14ac:dyDescent="0.35">
      <c r="A1160" s="1" t="s">
        <v>3989</v>
      </c>
      <c r="B1160" s="1" t="s">
        <v>3990</v>
      </c>
      <c r="C1160" s="1" t="s">
        <v>521</v>
      </c>
      <c r="D1160" s="1" t="s">
        <v>3991</v>
      </c>
      <c r="E1160" s="1" t="s">
        <v>3837</v>
      </c>
      <c r="F1160" s="1" t="s">
        <v>524</v>
      </c>
      <c r="G1160" s="1">
        <v>37129</v>
      </c>
      <c r="H1160" s="1" t="s">
        <v>525</v>
      </c>
    </row>
    <row r="1161" spans="1:8" x14ac:dyDescent="0.35">
      <c r="A1161" s="1" t="s">
        <v>3992</v>
      </c>
      <c r="B1161" s="1" t="s">
        <v>3993</v>
      </c>
      <c r="C1161" s="1" t="s">
        <v>521</v>
      </c>
      <c r="D1161" s="1" t="s">
        <v>3994</v>
      </c>
      <c r="E1161" s="1" t="s">
        <v>3837</v>
      </c>
      <c r="F1161" s="1" t="s">
        <v>524</v>
      </c>
      <c r="G1161" s="1">
        <v>37130</v>
      </c>
      <c r="H1161" s="1" t="s">
        <v>525</v>
      </c>
    </row>
    <row r="1162" spans="1:8" x14ac:dyDescent="0.35">
      <c r="A1162" s="1" t="s">
        <v>3995</v>
      </c>
      <c r="B1162" s="1" t="s">
        <v>3996</v>
      </c>
      <c r="C1162" s="1" t="s">
        <v>521</v>
      </c>
      <c r="D1162" s="1" t="s">
        <v>3997</v>
      </c>
      <c r="E1162" s="1" t="s">
        <v>3837</v>
      </c>
      <c r="F1162" s="1" t="s">
        <v>524</v>
      </c>
      <c r="G1162" s="1">
        <v>37128</v>
      </c>
      <c r="H1162" s="1" t="s">
        <v>525</v>
      </c>
    </row>
    <row r="1163" spans="1:8" x14ac:dyDescent="0.35">
      <c r="A1163" s="1" t="s">
        <v>3998</v>
      </c>
      <c r="B1163" s="1" t="s">
        <v>3999</v>
      </c>
      <c r="C1163" s="1" t="s">
        <v>521</v>
      </c>
      <c r="D1163" s="1" t="s">
        <v>4000</v>
      </c>
      <c r="E1163" s="1" t="s">
        <v>3837</v>
      </c>
      <c r="F1163" s="1" t="s">
        <v>524</v>
      </c>
      <c r="G1163" s="1">
        <v>37130</v>
      </c>
      <c r="H1163" s="1" t="s">
        <v>525</v>
      </c>
    </row>
    <row r="1164" spans="1:8" x14ac:dyDescent="0.35">
      <c r="A1164" s="1" t="s">
        <v>4001</v>
      </c>
      <c r="B1164" s="1" t="s">
        <v>4002</v>
      </c>
      <c r="C1164" s="1" t="s">
        <v>521</v>
      </c>
      <c r="D1164" s="1" t="s">
        <v>4003</v>
      </c>
      <c r="E1164" s="1" t="s">
        <v>3837</v>
      </c>
      <c r="F1164" s="1" t="s">
        <v>524</v>
      </c>
      <c r="G1164" s="1">
        <v>37128</v>
      </c>
      <c r="H1164" s="1" t="s">
        <v>525</v>
      </c>
    </row>
    <row r="1165" spans="1:8" x14ac:dyDescent="0.35">
      <c r="A1165" s="1" t="s">
        <v>4004</v>
      </c>
      <c r="B1165" s="1" t="s">
        <v>4005</v>
      </c>
      <c r="C1165" s="1" t="s">
        <v>521</v>
      </c>
      <c r="D1165" s="1" t="s">
        <v>4006</v>
      </c>
      <c r="E1165" s="1" t="s">
        <v>365</v>
      </c>
      <c r="F1165" s="1" t="s">
        <v>524</v>
      </c>
      <c r="G1165" s="1">
        <v>37841</v>
      </c>
      <c r="H1165" s="1" t="s">
        <v>525</v>
      </c>
    </row>
    <row r="1166" spans="1:8" x14ac:dyDescent="0.35">
      <c r="A1166" s="1" t="s">
        <v>4007</v>
      </c>
      <c r="B1166" s="1" t="s">
        <v>547</v>
      </c>
      <c r="C1166" s="1" t="s">
        <v>521</v>
      </c>
      <c r="D1166" s="1" t="s">
        <v>4008</v>
      </c>
      <c r="E1166" s="1" t="s">
        <v>4009</v>
      </c>
      <c r="F1166" s="1" t="s">
        <v>524</v>
      </c>
      <c r="G1166" s="1">
        <v>37756</v>
      </c>
      <c r="H1166" s="1" t="s">
        <v>525</v>
      </c>
    </row>
    <row r="1167" spans="1:8" x14ac:dyDescent="0.35">
      <c r="A1167" s="1" t="s">
        <v>4010</v>
      </c>
      <c r="B1167" s="1" t="s">
        <v>4011</v>
      </c>
      <c r="C1167" s="1" t="s">
        <v>521</v>
      </c>
      <c r="D1167" s="1" t="s">
        <v>4012</v>
      </c>
      <c r="E1167" s="1" t="s">
        <v>4009</v>
      </c>
      <c r="F1167" s="1" t="s">
        <v>524</v>
      </c>
      <c r="G1167" s="1">
        <v>37756</v>
      </c>
      <c r="H1167" s="1" t="s">
        <v>525</v>
      </c>
    </row>
    <row r="1168" spans="1:8" x14ac:dyDescent="0.35">
      <c r="A1168" s="1" t="s">
        <v>4013</v>
      </c>
      <c r="B1168" s="1" t="s">
        <v>4014</v>
      </c>
      <c r="C1168" s="1" t="s">
        <v>521</v>
      </c>
      <c r="D1168" s="1" t="s">
        <v>4015</v>
      </c>
      <c r="E1168" s="1" t="s">
        <v>4009</v>
      </c>
      <c r="F1168" s="1" t="s">
        <v>524</v>
      </c>
      <c r="G1168" s="1">
        <v>37756</v>
      </c>
      <c r="H1168" s="1" t="s">
        <v>525</v>
      </c>
    </row>
    <row r="1169" spans="1:8" x14ac:dyDescent="0.35">
      <c r="A1169" s="1" t="s">
        <v>4016</v>
      </c>
      <c r="B1169" s="1" t="s">
        <v>4017</v>
      </c>
      <c r="C1169" s="1" t="s">
        <v>521</v>
      </c>
      <c r="D1169" s="1" t="s">
        <v>4018</v>
      </c>
      <c r="E1169" s="1" t="s">
        <v>4019</v>
      </c>
      <c r="F1169" s="1" t="s">
        <v>524</v>
      </c>
      <c r="G1169" s="1">
        <v>37852</v>
      </c>
      <c r="H1169" s="1" t="s">
        <v>525</v>
      </c>
    </row>
    <row r="1170" spans="1:8" x14ac:dyDescent="0.35">
      <c r="A1170" s="1" t="s">
        <v>362</v>
      </c>
      <c r="B1170" s="1" t="s">
        <v>4020</v>
      </c>
      <c r="C1170" s="1" t="s">
        <v>521</v>
      </c>
      <c r="D1170" s="1" t="s">
        <v>4021</v>
      </c>
      <c r="E1170" s="1" t="s">
        <v>4009</v>
      </c>
      <c r="F1170" s="1" t="s">
        <v>524</v>
      </c>
      <c r="G1170" s="1">
        <v>37756</v>
      </c>
      <c r="H1170" s="1" t="s">
        <v>525</v>
      </c>
    </row>
    <row r="1171" spans="1:8" x14ac:dyDescent="0.35">
      <c r="A1171" s="1" t="s">
        <v>4022</v>
      </c>
      <c r="B1171" s="1" t="s">
        <v>4023</v>
      </c>
      <c r="C1171" s="1" t="s">
        <v>521</v>
      </c>
      <c r="D1171" s="1" t="s">
        <v>4024</v>
      </c>
      <c r="E1171" s="1" t="s">
        <v>4025</v>
      </c>
      <c r="F1171" s="1" t="s">
        <v>524</v>
      </c>
      <c r="G1171" s="1">
        <v>37892</v>
      </c>
      <c r="H1171" s="1" t="s">
        <v>525</v>
      </c>
    </row>
    <row r="1172" spans="1:8" x14ac:dyDescent="0.35">
      <c r="A1172" s="1" t="s">
        <v>4026</v>
      </c>
      <c r="B1172" s="1" t="s">
        <v>4027</v>
      </c>
      <c r="C1172" s="1" t="s">
        <v>521</v>
      </c>
      <c r="D1172" s="1" t="s">
        <v>4028</v>
      </c>
      <c r="E1172" s="1" t="s">
        <v>365</v>
      </c>
      <c r="F1172" s="1" t="s">
        <v>524</v>
      </c>
      <c r="G1172" s="1">
        <v>37841</v>
      </c>
      <c r="H1172" s="1" t="s">
        <v>525</v>
      </c>
    </row>
    <row r="1173" spans="1:8" x14ac:dyDescent="0.35">
      <c r="A1173" s="1" t="s">
        <v>4029</v>
      </c>
      <c r="B1173" s="1" t="s">
        <v>4030</v>
      </c>
      <c r="C1173" s="1" t="s">
        <v>521</v>
      </c>
      <c r="D1173" s="1" t="s">
        <v>4031</v>
      </c>
      <c r="E1173" s="1" t="s">
        <v>365</v>
      </c>
      <c r="F1173" s="1" t="s">
        <v>524</v>
      </c>
      <c r="G1173" s="1">
        <v>37841</v>
      </c>
      <c r="H1173" s="1" t="s">
        <v>525</v>
      </c>
    </row>
    <row r="1174" spans="1:8" x14ac:dyDescent="0.35">
      <c r="A1174" s="1" t="s">
        <v>364</v>
      </c>
      <c r="B1174" s="1" t="s">
        <v>4032</v>
      </c>
      <c r="C1174" s="1" t="s">
        <v>521</v>
      </c>
      <c r="D1174" s="1" t="s">
        <v>4033</v>
      </c>
      <c r="E1174" s="1" t="s">
        <v>365</v>
      </c>
      <c r="F1174" s="1" t="s">
        <v>524</v>
      </c>
      <c r="G1174" s="1">
        <v>37841</v>
      </c>
      <c r="H1174" s="1" t="s">
        <v>525</v>
      </c>
    </row>
    <row r="1175" spans="1:8" x14ac:dyDescent="0.35">
      <c r="A1175" s="1" t="s">
        <v>4034</v>
      </c>
      <c r="B1175" s="1" t="s">
        <v>4035</v>
      </c>
      <c r="C1175" s="1" t="s">
        <v>521</v>
      </c>
      <c r="D1175" s="1" t="s">
        <v>4036</v>
      </c>
      <c r="E1175" s="1" t="s">
        <v>4037</v>
      </c>
      <c r="F1175" s="1" t="s">
        <v>524</v>
      </c>
      <c r="G1175" s="1">
        <v>37327</v>
      </c>
      <c r="H1175" s="1" t="s">
        <v>525</v>
      </c>
    </row>
    <row r="1176" spans="1:8" x14ac:dyDescent="0.35">
      <c r="A1176" s="1" t="s">
        <v>4038</v>
      </c>
      <c r="B1176" s="1" t="s">
        <v>4039</v>
      </c>
      <c r="C1176" s="1" t="s">
        <v>521</v>
      </c>
      <c r="D1176" s="1" t="s">
        <v>4040</v>
      </c>
      <c r="E1176" s="1" t="s">
        <v>4037</v>
      </c>
      <c r="F1176" s="1" t="s">
        <v>524</v>
      </c>
      <c r="G1176" s="1">
        <v>37327</v>
      </c>
      <c r="H1176" s="1" t="s">
        <v>525</v>
      </c>
    </row>
    <row r="1177" spans="1:8" x14ac:dyDescent="0.35">
      <c r="A1177" s="1" t="s">
        <v>366</v>
      </c>
      <c r="B1177" s="1" t="s">
        <v>4041</v>
      </c>
      <c r="C1177" s="1" t="s">
        <v>521</v>
      </c>
      <c r="D1177" s="1" t="s">
        <v>4042</v>
      </c>
      <c r="E1177" s="1" t="s">
        <v>4037</v>
      </c>
      <c r="F1177" s="1" t="s">
        <v>524</v>
      </c>
      <c r="G1177" s="1">
        <v>37327</v>
      </c>
      <c r="H1177" s="1" t="s">
        <v>525</v>
      </c>
    </row>
    <row r="1178" spans="1:8" x14ac:dyDescent="0.35">
      <c r="A1178" s="1" t="s">
        <v>4043</v>
      </c>
      <c r="B1178" s="1" t="s">
        <v>4044</v>
      </c>
      <c r="C1178" s="1" t="s">
        <v>521</v>
      </c>
      <c r="D1178" s="1" t="s">
        <v>4045</v>
      </c>
      <c r="E1178" s="1" t="s">
        <v>4046</v>
      </c>
      <c r="F1178" s="1" t="s">
        <v>524</v>
      </c>
      <c r="G1178" s="1">
        <v>37876</v>
      </c>
      <c r="H1178" s="1" t="s">
        <v>525</v>
      </c>
    </row>
    <row r="1179" spans="1:8" x14ac:dyDescent="0.35">
      <c r="A1179" s="1" t="s">
        <v>4047</v>
      </c>
      <c r="B1179" s="1" t="s">
        <v>4048</v>
      </c>
      <c r="C1179" s="1" t="s">
        <v>521</v>
      </c>
      <c r="D1179" s="1" t="s">
        <v>4049</v>
      </c>
      <c r="E1179" s="1" t="s">
        <v>4046</v>
      </c>
      <c r="F1179" s="1" t="s">
        <v>524</v>
      </c>
      <c r="G1179" s="1">
        <v>37876</v>
      </c>
      <c r="H1179" s="1" t="s">
        <v>525</v>
      </c>
    </row>
    <row r="1180" spans="1:8" x14ac:dyDescent="0.35">
      <c r="A1180" s="1" t="s">
        <v>4050</v>
      </c>
      <c r="B1180" s="1" t="s">
        <v>4051</v>
      </c>
      <c r="C1180" s="1" t="s">
        <v>521</v>
      </c>
      <c r="D1180" s="1" t="s">
        <v>4052</v>
      </c>
      <c r="E1180" s="1" t="s">
        <v>4046</v>
      </c>
      <c r="F1180" s="1" t="s">
        <v>524</v>
      </c>
      <c r="G1180" s="1">
        <v>37876</v>
      </c>
      <c r="H1180" s="1" t="s">
        <v>525</v>
      </c>
    </row>
    <row r="1181" spans="1:8" x14ac:dyDescent="0.35">
      <c r="A1181" s="1" t="s">
        <v>368</v>
      </c>
      <c r="B1181" s="1" t="s">
        <v>4053</v>
      </c>
      <c r="C1181" s="1" t="s">
        <v>521</v>
      </c>
      <c r="D1181" s="1" t="s">
        <v>4054</v>
      </c>
      <c r="E1181" s="1" t="s">
        <v>4055</v>
      </c>
      <c r="F1181" s="1" t="s">
        <v>524</v>
      </c>
      <c r="G1181" s="1">
        <v>37738</v>
      </c>
      <c r="H1181" s="1" t="s">
        <v>525</v>
      </c>
    </row>
    <row r="1182" spans="1:8" x14ac:dyDescent="0.35">
      <c r="A1182" s="1" t="s">
        <v>4056</v>
      </c>
      <c r="B1182" s="1" t="s">
        <v>4057</v>
      </c>
      <c r="C1182" s="1" t="s">
        <v>521</v>
      </c>
      <c r="D1182" s="1" t="s">
        <v>4058</v>
      </c>
      <c r="E1182" s="1" t="s">
        <v>1118</v>
      </c>
      <c r="F1182" s="1" t="s">
        <v>524</v>
      </c>
      <c r="G1182" s="1">
        <v>37722</v>
      </c>
      <c r="H1182" s="1" t="s">
        <v>525</v>
      </c>
    </row>
    <row r="1183" spans="1:8" x14ac:dyDescent="0.35">
      <c r="A1183" s="1" t="s">
        <v>370</v>
      </c>
      <c r="B1183" s="1" t="s">
        <v>4059</v>
      </c>
      <c r="C1183" s="1" t="s">
        <v>521</v>
      </c>
      <c r="D1183" s="1" t="s">
        <v>4060</v>
      </c>
      <c r="E1183" s="1" t="s">
        <v>4061</v>
      </c>
      <c r="F1183" s="1" t="s">
        <v>524</v>
      </c>
      <c r="G1183" s="1">
        <v>37764</v>
      </c>
      <c r="H1183" s="1" t="s">
        <v>525</v>
      </c>
    </row>
    <row r="1184" spans="1:8" x14ac:dyDescent="0.35">
      <c r="A1184" s="1" t="s">
        <v>4062</v>
      </c>
      <c r="B1184" s="1" t="s">
        <v>4063</v>
      </c>
      <c r="C1184" s="1" t="s">
        <v>521</v>
      </c>
      <c r="D1184" s="1" t="s">
        <v>4060</v>
      </c>
      <c r="E1184" s="1" t="s">
        <v>4061</v>
      </c>
      <c r="F1184" s="1" t="s">
        <v>524</v>
      </c>
      <c r="G1184" s="1">
        <v>37764</v>
      </c>
      <c r="H1184" s="1" t="s">
        <v>525</v>
      </c>
    </row>
    <row r="1185" spans="1:8" x14ac:dyDescent="0.35">
      <c r="A1185" s="1" t="s">
        <v>4064</v>
      </c>
      <c r="B1185" s="1" t="s">
        <v>4065</v>
      </c>
      <c r="C1185" s="1" t="s">
        <v>521</v>
      </c>
      <c r="D1185" s="1" t="s">
        <v>4066</v>
      </c>
      <c r="E1185" s="1" t="s">
        <v>4061</v>
      </c>
      <c r="F1185" s="1" t="s">
        <v>524</v>
      </c>
      <c r="G1185" s="1">
        <v>37764</v>
      </c>
      <c r="H1185" s="1" t="s">
        <v>525</v>
      </c>
    </row>
    <row r="1186" spans="1:8" x14ac:dyDescent="0.35">
      <c r="A1186" s="1" t="s">
        <v>4067</v>
      </c>
      <c r="B1186" s="1" t="s">
        <v>4068</v>
      </c>
      <c r="C1186" s="1" t="s">
        <v>521</v>
      </c>
      <c r="D1186" s="1" t="s">
        <v>4069</v>
      </c>
      <c r="E1186" s="1" t="s">
        <v>4061</v>
      </c>
      <c r="F1186" s="1" t="s">
        <v>524</v>
      </c>
      <c r="G1186" s="1">
        <v>37764</v>
      </c>
      <c r="H1186" s="1" t="s">
        <v>525</v>
      </c>
    </row>
    <row r="1187" spans="1:8" x14ac:dyDescent="0.35">
      <c r="A1187" s="1" t="s">
        <v>4070</v>
      </c>
      <c r="B1187" s="1" t="s">
        <v>4071</v>
      </c>
      <c r="C1187" s="1" t="s">
        <v>521</v>
      </c>
      <c r="D1187" s="1" t="s">
        <v>4072</v>
      </c>
      <c r="E1187" s="1" t="s">
        <v>4046</v>
      </c>
      <c r="F1187" s="1" t="s">
        <v>524</v>
      </c>
      <c r="G1187" s="1">
        <v>37876</v>
      </c>
      <c r="H1187" s="1" t="s">
        <v>525</v>
      </c>
    </row>
    <row r="1188" spans="1:8" x14ac:dyDescent="0.35">
      <c r="A1188" s="1" t="s">
        <v>4073</v>
      </c>
      <c r="B1188" s="1" t="s">
        <v>4074</v>
      </c>
      <c r="C1188" s="1" t="s">
        <v>521</v>
      </c>
      <c r="D1188" s="1" t="s">
        <v>4075</v>
      </c>
      <c r="E1188" s="1" t="s">
        <v>4055</v>
      </c>
      <c r="F1188" s="1" t="s">
        <v>524</v>
      </c>
      <c r="G1188" s="1">
        <v>37738</v>
      </c>
      <c r="H1188" s="1" t="s">
        <v>525</v>
      </c>
    </row>
    <row r="1189" spans="1:8" x14ac:dyDescent="0.35">
      <c r="A1189" s="1" t="s">
        <v>4076</v>
      </c>
      <c r="B1189" s="1" t="s">
        <v>4077</v>
      </c>
      <c r="C1189" s="1" t="s">
        <v>521</v>
      </c>
      <c r="D1189" s="1" t="s">
        <v>4078</v>
      </c>
      <c r="E1189" s="1" t="s">
        <v>4046</v>
      </c>
      <c r="F1189" s="1" t="s">
        <v>524</v>
      </c>
      <c r="G1189" s="1">
        <v>37876</v>
      </c>
      <c r="H1189" s="1" t="s">
        <v>525</v>
      </c>
    </row>
    <row r="1190" spans="1:8" x14ac:dyDescent="0.35">
      <c r="A1190" s="1" t="s">
        <v>4079</v>
      </c>
      <c r="B1190" s="1" t="s">
        <v>4080</v>
      </c>
      <c r="C1190" s="1" t="s">
        <v>521</v>
      </c>
      <c r="D1190" s="1" t="s">
        <v>4081</v>
      </c>
      <c r="E1190" s="1" t="s">
        <v>4082</v>
      </c>
      <c r="F1190" s="1" t="s">
        <v>524</v>
      </c>
      <c r="G1190" s="1">
        <v>37863</v>
      </c>
      <c r="H1190" s="1" t="s">
        <v>525</v>
      </c>
    </row>
    <row r="1191" spans="1:8" x14ac:dyDescent="0.35">
      <c r="A1191" s="1" t="s">
        <v>371</v>
      </c>
      <c r="B1191" s="1" t="s">
        <v>4083</v>
      </c>
      <c r="C1191" s="1" t="s">
        <v>521</v>
      </c>
      <c r="D1191" s="1" t="s">
        <v>4084</v>
      </c>
      <c r="E1191" s="1" t="s">
        <v>4082</v>
      </c>
      <c r="F1191" s="1" t="s">
        <v>524</v>
      </c>
      <c r="G1191" s="1">
        <v>37863</v>
      </c>
      <c r="H1191" s="1" t="s">
        <v>525</v>
      </c>
    </row>
    <row r="1192" spans="1:8" x14ac:dyDescent="0.35">
      <c r="A1192" s="1" t="s">
        <v>4085</v>
      </c>
      <c r="B1192" s="1" t="s">
        <v>4086</v>
      </c>
      <c r="C1192" s="1" t="s">
        <v>521</v>
      </c>
      <c r="D1192" s="1" t="s">
        <v>4087</v>
      </c>
      <c r="E1192" s="1" t="s">
        <v>4055</v>
      </c>
      <c r="F1192" s="1" t="s">
        <v>524</v>
      </c>
      <c r="G1192" s="1">
        <v>37738</v>
      </c>
      <c r="H1192" s="1" t="s">
        <v>525</v>
      </c>
    </row>
    <row r="1193" spans="1:8" x14ac:dyDescent="0.35">
      <c r="A1193" s="1" t="s">
        <v>372</v>
      </c>
      <c r="B1193" s="1" t="s">
        <v>4088</v>
      </c>
      <c r="C1193" s="1" t="s">
        <v>521</v>
      </c>
      <c r="D1193" s="1" t="s">
        <v>4089</v>
      </c>
      <c r="E1193" s="1" t="s">
        <v>4046</v>
      </c>
      <c r="F1193" s="1" t="s">
        <v>524</v>
      </c>
      <c r="G1193" s="1">
        <v>37876</v>
      </c>
      <c r="H1193" s="1" t="s">
        <v>525</v>
      </c>
    </row>
    <row r="1194" spans="1:8" x14ac:dyDescent="0.35">
      <c r="A1194" s="1" t="s">
        <v>373</v>
      </c>
      <c r="B1194" s="1" t="s">
        <v>4090</v>
      </c>
      <c r="C1194" s="1" t="s">
        <v>521</v>
      </c>
      <c r="D1194" s="1" t="s">
        <v>4091</v>
      </c>
      <c r="E1194" s="1" t="s">
        <v>4046</v>
      </c>
      <c r="F1194" s="1" t="s">
        <v>524</v>
      </c>
      <c r="G1194" s="1">
        <v>37862</v>
      </c>
      <c r="H1194" s="1" t="s">
        <v>525</v>
      </c>
    </row>
    <row r="1195" spans="1:8" x14ac:dyDescent="0.35">
      <c r="A1195" s="1" t="s">
        <v>4092</v>
      </c>
      <c r="B1195" s="1" t="s">
        <v>4093</v>
      </c>
      <c r="C1195" s="1" t="s">
        <v>521</v>
      </c>
      <c r="D1195" s="1" t="s">
        <v>4094</v>
      </c>
      <c r="E1195" s="1" t="s">
        <v>4046</v>
      </c>
      <c r="F1195" s="1" t="s">
        <v>524</v>
      </c>
      <c r="G1195" s="1">
        <v>37862</v>
      </c>
      <c r="H1195" s="1" t="s">
        <v>525</v>
      </c>
    </row>
    <row r="1196" spans="1:8" x14ac:dyDescent="0.35">
      <c r="A1196" s="1" t="s">
        <v>4095</v>
      </c>
      <c r="B1196" s="1" t="s">
        <v>4096</v>
      </c>
      <c r="C1196" s="1" t="s">
        <v>521</v>
      </c>
      <c r="D1196" s="1" t="s">
        <v>4097</v>
      </c>
      <c r="E1196" s="1" t="s">
        <v>4046</v>
      </c>
      <c r="F1196" s="1" t="s">
        <v>524</v>
      </c>
      <c r="G1196" s="1">
        <v>37862</v>
      </c>
      <c r="H1196" s="1" t="s">
        <v>525</v>
      </c>
    </row>
    <row r="1197" spans="1:8" x14ac:dyDescent="0.35">
      <c r="A1197" s="1" t="s">
        <v>4098</v>
      </c>
      <c r="B1197" s="1" t="s">
        <v>4099</v>
      </c>
      <c r="C1197" s="1" t="s">
        <v>521</v>
      </c>
      <c r="D1197" s="1" t="s">
        <v>4100</v>
      </c>
      <c r="E1197" s="1" t="s">
        <v>4046</v>
      </c>
      <c r="F1197" s="1" t="s">
        <v>524</v>
      </c>
      <c r="G1197" s="1">
        <v>37862</v>
      </c>
      <c r="H1197" s="1" t="s">
        <v>525</v>
      </c>
    </row>
    <row r="1198" spans="1:8" x14ac:dyDescent="0.35">
      <c r="A1198" s="1" t="s">
        <v>4101</v>
      </c>
      <c r="B1198" s="1" t="s">
        <v>4102</v>
      </c>
      <c r="C1198" s="1" t="s">
        <v>521</v>
      </c>
      <c r="D1198" s="1" t="s">
        <v>4103</v>
      </c>
      <c r="E1198" s="1" t="s">
        <v>744</v>
      </c>
      <c r="F1198" s="1" t="s">
        <v>524</v>
      </c>
      <c r="G1198" s="1">
        <v>37865</v>
      </c>
      <c r="H1198" s="1" t="s">
        <v>525</v>
      </c>
    </row>
    <row r="1199" spans="1:8" x14ac:dyDescent="0.35">
      <c r="A1199" s="1" t="s">
        <v>4104</v>
      </c>
      <c r="B1199" s="1" t="s">
        <v>4105</v>
      </c>
      <c r="C1199" s="1" t="s">
        <v>521</v>
      </c>
      <c r="D1199" s="1" t="s">
        <v>4106</v>
      </c>
      <c r="E1199" s="1" t="s">
        <v>744</v>
      </c>
      <c r="F1199" s="1" t="s">
        <v>524</v>
      </c>
      <c r="G1199" s="1">
        <v>37865</v>
      </c>
      <c r="H1199" s="1" t="s">
        <v>525</v>
      </c>
    </row>
    <row r="1200" spans="1:8" x14ac:dyDescent="0.35">
      <c r="A1200" s="1" t="s">
        <v>4107</v>
      </c>
      <c r="B1200" s="1" t="s">
        <v>4108</v>
      </c>
      <c r="C1200" s="1" t="s">
        <v>521</v>
      </c>
      <c r="D1200" s="1" t="s">
        <v>4109</v>
      </c>
      <c r="E1200" s="1" t="s">
        <v>744</v>
      </c>
      <c r="F1200" s="1" t="s">
        <v>524</v>
      </c>
      <c r="G1200" s="1">
        <v>37865</v>
      </c>
      <c r="H1200" s="1" t="s">
        <v>525</v>
      </c>
    </row>
    <row r="1201" spans="1:8" x14ac:dyDescent="0.35">
      <c r="A1201" s="1" t="s">
        <v>374</v>
      </c>
      <c r="B1201" s="1" t="s">
        <v>4110</v>
      </c>
      <c r="C1201" s="1" t="s">
        <v>521</v>
      </c>
      <c r="D1201" s="1" t="s">
        <v>4111</v>
      </c>
      <c r="E1201" s="1" t="s">
        <v>744</v>
      </c>
      <c r="F1201" s="1" t="s">
        <v>524</v>
      </c>
      <c r="G1201" s="1">
        <v>37865</v>
      </c>
      <c r="H1201" s="1" t="s">
        <v>525</v>
      </c>
    </row>
    <row r="1202" spans="1:8" x14ac:dyDescent="0.35">
      <c r="A1202" s="1" t="s">
        <v>4112</v>
      </c>
      <c r="B1202" s="1" t="s">
        <v>4113</v>
      </c>
      <c r="C1202" s="1" t="s">
        <v>521</v>
      </c>
      <c r="D1202" s="1" t="s">
        <v>4114</v>
      </c>
      <c r="E1202" s="1" t="s">
        <v>4046</v>
      </c>
      <c r="F1202" s="1" t="s">
        <v>524</v>
      </c>
      <c r="G1202" s="1">
        <v>37862</v>
      </c>
      <c r="H1202" s="1" t="s">
        <v>525</v>
      </c>
    </row>
    <row r="1203" spans="1:8" x14ac:dyDescent="0.35">
      <c r="A1203" s="1" t="s">
        <v>4115</v>
      </c>
      <c r="B1203" s="1" t="s">
        <v>4116</v>
      </c>
      <c r="C1203" s="1" t="s">
        <v>521</v>
      </c>
      <c r="D1203" s="1" t="s">
        <v>4117</v>
      </c>
      <c r="E1203" s="1" t="s">
        <v>418</v>
      </c>
      <c r="F1203" s="1" t="s">
        <v>524</v>
      </c>
      <c r="G1203" s="1">
        <v>38002</v>
      </c>
      <c r="H1203" s="1" t="s">
        <v>525</v>
      </c>
    </row>
    <row r="1204" spans="1:8" x14ac:dyDescent="0.35">
      <c r="A1204" s="1" t="s">
        <v>375</v>
      </c>
      <c r="B1204" s="1" t="s">
        <v>4118</v>
      </c>
      <c r="C1204" s="1" t="s">
        <v>521</v>
      </c>
      <c r="D1204" s="1" t="s">
        <v>4119</v>
      </c>
      <c r="E1204" s="1" t="s">
        <v>418</v>
      </c>
      <c r="F1204" s="1" t="s">
        <v>524</v>
      </c>
      <c r="G1204" s="1">
        <v>38002</v>
      </c>
      <c r="H1204" s="1" t="s">
        <v>525</v>
      </c>
    </row>
    <row r="1205" spans="1:8" x14ac:dyDescent="0.35">
      <c r="A1205" s="1" t="s">
        <v>4120</v>
      </c>
      <c r="B1205" s="1" t="s">
        <v>4121</v>
      </c>
      <c r="C1205" s="1" t="s">
        <v>521</v>
      </c>
      <c r="D1205" s="1" t="s">
        <v>4122</v>
      </c>
      <c r="E1205" s="1" t="s">
        <v>4123</v>
      </c>
      <c r="F1205" s="1" t="s">
        <v>524</v>
      </c>
      <c r="G1205" s="1">
        <v>38016</v>
      </c>
      <c r="H1205" s="1" t="s">
        <v>525</v>
      </c>
    </row>
    <row r="1206" spans="1:8" x14ac:dyDescent="0.35">
      <c r="A1206" s="1" t="s">
        <v>4124</v>
      </c>
      <c r="B1206" s="1" t="s">
        <v>4125</v>
      </c>
      <c r="C1206" s="1" t="s">
        <v>521</v>
      </c>
      <c r="D1206" s="1" t="s">
        <v>4126</v>
      </c>
      <c r="E1206" s="1" t="s">
        <v>4123</v>
      </c>
      <c r="F1206" s="1" t="s">
        <v>524</v>
      </c>
      <c r="G1206" s="1">
        <v>38018</v>
      </c>
      <c r="H1206" s="1" t="s">
        <v>525</v>
      </c>
    </row>
    <row r="1207" spans="1:8" x14ac:dyDescent="0.35">
      <c r="A1207" s="1" t="s">
        <v>4127</v>
      </c>
      <c r="B1207" s="1" t="s">
        <v>4128</v>
      </c>
      <c r="C1207" s="1" t="s">
        <v>521</v>
      </c>
      <c r="D1207" s="1" t="s">
        <v>4129</v>
      </c>
      <c r="E1207" s="1" t="s">
        <v>4130</v>
      </c>
      <c r="F1207" s="1" t="s">
        <v>524</v>
      </c>
      <c r="G1207" s="1">
        <v>38053</v>
      </c>
      <c r="H1207" s="1" t="s">
        <v>525</v>
      </c>
    </row>
    <row r="1208" spans="1:8" x14ac:dyDescent="0.35">
      <c r="A1208" s="1" t="s">
        <v>4131</v>
      </c>
      <c r="B1208" s="1" t="s">
        <v>4132</v>
      </c>
      <c r="C1208" s="1" t="s">
        <v>521</v>
      </c>
      <c r="D1208" s="1" t="s">
        <v>4133</v>
      </c>
      <c r="E1208" s="1" t="s">
        <v>424</v>
      </c>
      <c r="F1208" s="1" t="s">
        <v>524</v>
      </c>
      <c r="G1208" s="1">
        <v>38138</v>
      </c>
      <c r="H1208" s="1" t="s">
        <v>525</v>
      </c>
    </row>
    <row r="1209" spans="1:8" x14ac:dyDescent="0.35">
      <c r="A1209" s="1" t="s">
        <v>4134</v>
      </c>
      <c r="B1209" s="1" t="s">
        <v>4135</v>
      </c>
      <c r="C1209" s="1" t="s">
        <v>521</v>
      </c>
      <c r="D1209" s="1" t="s">
        <v>4136</v>
      </c>
      <c r="E1209" s="1" t="s">
        <v>424</v>
      </c>
      <c r="F1209" s="1" t="s">
        <v>524</v>
      </c>
      <c r="G1209" s="1">
        <v>38138</v>
      </c>
      <c r="H1209" s="1" t="s">
        <v>525</v>
      </c>
    </row>
    <row r="1210" spans="1:8" x14ac:dyDescent="0.35">
      <c r="A1210" s="1" t="s">
        <v>4137</v>
      </c>
      <c r="B1210" s="1" t="s">
        <v>4138</v>
      </c>
      <c r="C1210" s="1" t="s">
        <v>521</v>
      </c>
      <c r="D1210" s="1" t="s">
        <v>4139</v>
      </c>
      <c r="E1210" s="1" t="s">
        <v>4140</v>
      </c>
      <c r="F1210" s="1" t="s">
        <v>524</v>
      </c>
      <c r="G1210" s="1">
        <v>38125</v>
      </c>
      <c r="H1210" s="1" t="s">
        <v>525</v>
      </c>
    </row>
    <row r="1211" spans="1:8" x14ac:dyDescent="0.35">
      <c r="A1211" s="1" t="s">
        <v>377</v>
      </c>
      <c r="B1211" s="1" t="s">
        <v>4141</v>
      </c>
      <c r="C1211" s="1" t="s">
        <v>521</v>
      </c>
      <c r="D1211" s="1" t="s">
        <v>4142</v>
      </c>
      <c r="E1211" s="1" t="s">
        <v>424</v>
      </c>
      <c r="F1211" s="1" t="s">
        <v>524</v>
      </c>
      <c r="G1211" s="1">
        <v>38138</v>
      </c>
      <c r="H1211" s="1" t="s">
        <v>525</v>
      </c>
    </row>
    <row r="1212" spans="1:8" x14ac:dyDescent="0.35">
      <c r="A1212" s="1" t="s">
        <v>4143</v>
      </c>
      <c r="B1212" s="1" t="s">
        <v>4144</v>
      </c>
      <c r="C1212" s="1" t="s">
        <v>521</v>
      </c>
      <c r="D1212" s="1" t="s">
        <v>4145</v>
      </c>
      <c r="E1212" s="1" t="s">
        <v>4130</v>
      </c>
      <c r="F1212" s="1" t="s">
        <v>524</v>
      </c>
      <c r="G1212" s="1">
        <v>38053</v>
      </c>
      <c r="H1212" s="1" t="s">
        <v>525</v>
      </c>
    </row>
    <row r="1213" spans="1:8" x14ac:dyDescent="0.35">
      <c r="A1213" s="1" t="s">
        <v>4146</v>
      </c>
      <c r="B1213" s="1" t="s">
        <v>4147</v>
      </c>
      <c r="C1213" s="1" t="s">
        <v>521</v>
      </c>
      <c r="D1213" s="1" t="s">
        <v>4148</v>
      </c>
      <c r="E1213" s="1" t="s">
        <v>4123</v>
      </c>
      <c r="F1213" s="1" t="s">
        <v>524</v>
      </c>
      <c r="G1213" s="1">
        <v>38016</v>
      </c>
      <c r="H1213" s="1" t="s">
        <v>525</v>
      </c>
    </row>
    <row r="1214" spans="1:8" x14ac:dyDescent="0.35">
      <c r="A1214" s="1" t="s">
        <v>4149</v>
      </c>
      <c r="B1214" s="1" t="s">
        <v>4150</v>
      </c>
      <c r="C1214" s="1" t="s">
        <v>521</v>
      </c>
      <c r="D1214" s="1" t="s">
        <v>4151</v>
      </c>
      <c r="E1214" s="1" t="s">
        <v>4123</v>
      </c>
      <c r="F1214" s="1" t="s">
        <v>524</v>
      </c>
      <c r="G1214" s="1">
        <v>38016</v>
      </c>
      <c r="H1214" s="1" t="s">
        <v>525</v>
      </c>
    </row>
    <row r="1215" spans="1:8" x14ac:dyDescent="0.35">
      <c r="A1215" s="1" t="s">
        <v>4152</v>
      </c>
      <c r="B1215" s="1" t="s">
        <v>4153</v>
      </c>
      <c r="C1215" s="1" t="s">
        <v>521</v>
      </c>
      <c r="D1215" s="1" t="s">
        <v>4154</v>
      </c>
      <c r="E1215" s="1" t="s">
        <v>4140</v>
      </c>
      <c r="F1215" s="1" t="s">
        <v>524</v>
      </c>
      <c r="G1215" s="1">
        <v>38127</v>
      </c>
      <c r="H1215" s="1" t="s">
        <v>525</v>
      </c>
    </row>
    <row r="1216" spans="1:8" x14ac:dyDescent="0.35">
      <c r="A1216" s="1" t="s">
        <v>4155</v>
      </c>
      <c r="B1216" s="1" t="s">
        <v>4156</v>
      </c>
      <c r="C1216" s="1" t="s">
        <v>521</v>
      </c>
      <c r="D1216" s="1" t="s">
        <v>4157</v>
      </c>
      <c r="E1216" s="1" t="s">
        <v>4140</v>
      </c>
      <c r="F1216" s="1" t="s">
        <v>524</v>
      </c>
      <c r="G1216" s="1">
        <v>38125</v>
      </c>
      <c r="H1216" s="1" t="s">
        <v>525</v>
      </c>
    </row>
    <row r="1217" spans="1:8" x14ac:dyDescent="0.35">
      <c r="A1217" s="1" t="s">
        <v>378</v>
      </c>
      <c r="B1217" s="1" t="s">
        <v>4158</v>
      </c>
      <c r="C1217" s="1" t="s">
        <v>521</v>
      </c>
      <c r="D1217" s="1" t="s">
        <v>4159</v>
      </c>
      <c r="E1217" s="1" t="s">
        <v>4140</v>
      </c>
      <c r="F1217" s="1" t="s">
        <v>524</v>
      </c>
      <c r="G1217" s="1">
        <v>38125</v>
      </c>
      <c r="H1217" s="1" t="s">
        <v>525</v>
      </c>
    </row>
    <row r="1218" spans="1:8" x14ac:dyDescent="0.35">
      <c r="A1218" s="1" t="s">
        <v>4160</v>
      </c>
      <c r="B1218" s="1" t="s">
        <v>4161</v>
      </c>
      <c r="C1218" s="1" t="s">
        <v>521</v>
      </c>
      <c r="D1218" s="1" t="s">
        <v>4162</v>
      </c>
      <c r="E1218" s="1" t="s">
        <v>4130</v>
      </c>
      <c r="F1218" s="1" t="s">
        <v>524</v>
      </c>
      <c r="G1218" s="1">
        <v>38053</v>
      </c>
      <c r="H1218" s="1" t="s">
        <v>525</v>
      </c>
    </row>
    <row r="1219" spans="1:8" x14ac:dyDescent="0.35">
      <c r="A1219" s="1" t="s">
        <v>4163</v>
      </c>
      <c r="B1219" s="1" t="s">
        <v>4164</v>
      </c>
      <c r="C1219" s="1" t="s">
        <v>521</v>
      </c>
      <c r="D1219" s="1" t="s">
        <v>4165</v>
      </c>
      <c r="E1219" s="1" t="s">
        <v>4140</v>
      </c>
      <c r="F1219" s="1" t="s">
        <v>524</v>
      </c>
      <c r="G1219" s="1">
        <v>38125</v>
      </c>
      <c r="H1219" s="1" t="s">
        <v>525</v>
      </c>
    </row>
    <row r="1220" spans="1:8" x14ac:dyDescent="0.35">
      <c r="A1220" s="1" t="s">
        <v>4166</v>
      </c>
      <c r="B1220" s="1" t="s">
        <v>4167</v>
      </c>
      <c r="C1220" s="1" t="s">
        <v>521</v>
      </c>
      <c r="D1220" s="1" t="s">
        <v>4168</v>
      </c>
      <c r="E1220" s="1" t="s">
        <v>4140</v>
      </c>
      <c r="F1220" s="1" t="s">
        <v>524</v>
      </c>
      <c r="G1220" s="1">
        <v>38125</v>
      </c>
      <c r="H1220" s="1" t="s">
        <v>525</v>
      </c>
    </row>
    <row r="1221" spans="1:8" x14ac:dyDescent="0.35">
      <c r="A1221" s="1" t="s">
        <v>4169</v>
      </c>
      <c r="B1221" s="1" t="s">
        <v>4170</v>
      </c>
      <c r="C1221" s="1" t="s">
        <v>521</v>
      </c>
      <c r="D1221" s="1" t="s">
        <v>4171</v>
      </c>
      <c r="E1221" s="1" t="s">
        <v>4140</v>
      </c>
      <c r="F1221" s="1" t="s">
        <v>524</v>
      </c>
      <c r="G1221" s="1">
        <v>38115</v>
      </c>
      <c r="H1221" s="1" t="s">
        <v>525</v>
      </c>
    </row>
    <row r="1222" spans="1:8" x14ac:dyDescent="0.35">
      <c r="A1222" s="1" t="s">
        <v>4172</v>
      </c>
      <c r="B1222" s="1" t="s">
        <v>4173</v>
      </c>
      <c r="C1222" s="1" t="s">
        <v>521</v>
      </c>
      <c r="D1222" s="1" t="s">
        <v>4174</v>
      </c>
      <c r="E1222" s="1" t="s">
        <v>4140</v>
      </c>
      <c r="F1222" s="1" t="s">
        <v>524</v>
      </c>
      <c r="G1222" s="1">
        <v>38106</v>
      </c>
      <c r="H1222" s="1" t="s">
        <v>525</v>
      </c>
    </row>
    <row r="1223" spans="1:8" x14ac:dyDescent="0.35">
      <c r="A1223" s="1" t="s">
        <v>4175</v>
      </c>
      <c r="B1223" s="1" t="s">
        <v>4176</v>
      </c>
      <c r="C1223" s="1" t="s">
        <v>521</v>
      </c>
      <c r="D1223" s="1" t="s">
        <v>4177</v>
      </c>
      <c r="E1223" s="1" t="s">
        <v>4140</v>
      </c>
      <c r="F1223" s="1" t="s">
        <v>524</v>
      </c>
      <c r="G1223" s="1">
        <v>38133</v>
      </c>
      <c r="H1223" s="1" t="s">
        <v>525</v>
      </c>
    </row>
    <row r="1224" spans="1:8" x14ac:dyDescent="0.35">
      <c r="A1224" s="1" t="s">
        <v>4178</v>
      </c>
      <c r="B1224" s="1" t="s">
        <v>4179</v>
      </c>
      <c r="C1224" s="1" t="s">
        <v>521</v>
      </c>
      <c r="D1224" s="1" t="s">
        <v>4180</v>
      </c>
      <c r="E1224" s="1" t="s">
        <v>4140</v>
      </c>
      <c r="F1224" s="1" t="s">
        <v>524</v>
      </c>
      <c r="G1224" s="1">
        <v>38114</v>
      </c>
      <c r="H1224" s="1" t="s">
        <v>525</v>
      </c>
    </row>
    <row r="1225" spans="1:8" x14ac:dyDescent="0.35">
      <c r="A1225" s="1" t="s">
        <v>4181</v>
      </c>
      <c r="B1225" s="1" t="s">
        <v>4182</v>
      </c>
      <c r="C1225" s="1" t="s">
        <v>521</v>
      </c>
      <c r="D1225" s="1" t="s">
        <v>4183</v>
      </c>
      <c r="E1225" s="1" t="s">
        <v>4140</v>
      </c>
      <c r="F1225" s="1" t="s">
        <v>524</v>
      </c>
      <c r="G1225" s="1">
        <v>38106</v>
      </c>
      <c r="H1225" s="1" t="s">
        <v>525</v>
      </c>
    </row>
    <row r="1226" spans="1:8" x14ac:dyDescent="0.35">
      <c r="A1226" s="1" t="s">
        <v>4184</v>
      </c>
      <c r="B1226" s="1" t="s">
        <v>4185</v>
      </c>
      <c r="C1226" s="1" t="s">
        <v>521</v>
      </c>
      <c r="D1226" s="1" t="s">
        <v>4186</v>
      </c>
      <c r="E1226" s="1" t="s">
        <v>4140</v>
      </c>
      <c r="F1226" s="1" t="s">
        <v>524</v>
      </c>
      <c r="G1226" s="1">
        <v>38118</v>
      </c>
      <c r="H1226" s="1" t="s">
        <v>525</v>
      </c>
    </row>
    <row r="1227" spans="1:8" x14ac:dyDescent="0.35">
      <c r="A1227" s="1" t="s">
        <v>4187</v>
      </c>
      <c r="B1227" s="1" t="s">
        <v>4188</v>
      </c>
      <c r="C1227" s="1" t="s">
        <v>521</v>
      </c>
      <c r="D1227" s="1" t="s">
        <v>4189</v>
      </c>
      <c r="E1227" s="1" t="s">
        <v>4140</v>
      </c>
      <c r="F1227" s="1" t="s">
        <v>524</v>
      </c>
      <c r="G1227" s="1">
        <v>38117</v>
      </c>
      <c r="H1227" s="1" t="s">
        <v>525</v>
      </c>
    </row>
    <row r="1228" spans="1:8" x14ac:dyDescent="0.35">
      <c r="A1228" s="1" t="s">
        <v>379</v>
      </c>
      <c r="B1228" s="1" t="s">
        <v>4190</v>
      </c>
      <c r="C1228" s="1" t="s">
        <v>521</v>
      </c>
      <c r="D1228" s="1" t="s">
        <v>4191</v>
      </c>
      <c r="E1228" s="1" t="s">
        <v>4140</v>
      </c>
      <c r="F1228" s="1" t="s">
        <v>524</v>
      </c>
      <c r="G1228" s="1">
        <v>38126</v>
      </c>
      <c r="H1228" s="1" t="s">
        <v>525</v>
      </c>
    </row>
    <row r="1229" spans="1:8" x14ac:dyDescent="0.35">
      <c r="A1229" s="1" t="s">
        <v>4192</v>
      </c>
      <c r="B1229" s="1" t="s">
        <v>1295</v>
      </c>
      <c r="C1229" s="1" t="s">
        <v>521</v>
      </c>
      <c r="D1229" s="1" t="s">
        <v>4193</v>
      </c>
      <c r="E1229" s="1" t="s">
        <v>4140</v>
      </c>
      <c r="F1229" s="1" t="s">
        <v>524</v>
      </c>
      <c r="G1229" s="1">
        <v>38104</v>
      </c>
      <c r="H1229" s="1" t="s">
        <v>525</v>
      </c>
    </row>
    <row r="1230" spans="1:8" x14ac:dyDescent="0.35">
      <c r="A1230" s="1" t="s">
        <v>4194</v>
      </c>
      <c r="B1230" s="1" t="s">
        <v>4195</v>
      </c>
      <c r="C1230" s="1" t="s">
        <v>521</v>
      </c>
      <c r="D1230" s="1" t="s">
        <v>4196</v>
      </c>
      <c r="E1230" s="1" t="s">
        <v>4140</v>
      </c>
      <c r="F1230" s="1" t="s">
        <v>524</v>
      </c>
      <c r="G1230" s="1">
        <v>38122</v>
      </c>
      <c r="H1230" s="1" t="s">
        <v>525</v>
      </c>
    </row>
    <row r="1231" spans="1:8" x14ac:dyDescent="0.35">
      <c r="A1231" s="1" t="s">
        <v>4197</v>
      </c>
      <c r="B1231" s="1" t="s">
        <v>4198</v>
      </c>
      <c r="C1231" s="1" t="s">
        <v>521</v>
      </c>
      <c r="D1231" s="1" t="s">
        <v>4199</v>
      </c>
      <c r="E1231" s="1" t="s">
        <v>4123</v>
      </c>
      <c r="F1231" s="1" t="s">
        <v>524</v>
      </c>
      <c r="G1231" s="1">
        <v>38016</v>
      </c>
      <c r="H1231" s="1" t="s">
        <v>525</v>
      </c>
    </row>
    <row r="1232" spans="1:8" x14ac:dyDescent="0.35">
      <c r="A1232" s="1" t="s">
        <v>4200</v>
      </c>
      <c r="B1232" s="1" t="s">
        <v>4201</v>
      </c>
      <c r="C1232" s="1" t="s">
        <v>521</v>
      </c>
      <c r="D1232" s="1" t="s">
        <v>4202</v>
      </c>
      <c r="E1232" s="1" t="s">
        <v>4140</v>
      </c>
      <c r="F1232" s="1" t="s">
        <v>524</v>
      </c>
      <c r="G1232" s="1">
        <v>38114</v>
      </c>
      <c r="H1232" s="1" t="s">
        <v>525</v>
      </c>
    </row>
    <row r="1233" spans="1:8" x14ac:dyDescent="0.35">
      <c r="A1233" s="1" t="s">
        <v>4203</v>
      </c>
      <c r="B1233" s="1" t="s">
        <v>4204</v>
      </c>
      <c r="C1233" s="1" t="s">
        <v>521</v>
      </c>
      <c r="D1233" s="1" t="s">
        <v>4205</v>
      </c>
      <c r="E1233" s="1" t="s">
        <v>4140</v>
      </c>
      <c r="F1233" s="1" t="s">
        <v>524</v>
      </c>
      <c r="G1233" s="1">
        <v>38112</v>
      </c>
      <c r="H1233" s="1" t="s">
        <v>525</v>
      </c>
    </row>
    <row r="1234" spans="1:8" x14ac:dyDescent="0.35">
      <c r="A1234" s="1" t="s">
        <v>4206</v>
      </c>
      <c r="B1234" s="1" t="s">
        <v>4207</v>
      </c>
      <c r="C1234" s="1" t="s">
        <v>521</v>
      </c>
      <c r="D1234" s="1" t="s">
        <v>4208</v>
      </c>
      <c r="E1234" s="1" t="s">
        <v>4140</v>
      </c>
      <c r="F1234" s="1" t="s">
        <v>524</v>
      </c>
      <c r="G1234" s="1">
        <v>38135</v>
      </c>
      <c r="H1234" s="1" t="s">
        <v>525</v>
      </c>
    </row>
    <row r="1235" spans="1:8" x14ac:dyDescent="0.35">
      <c r="A1235" s="1" t="s">
        <v>4209</v>
      </c>
      <c r="B1235" s="1" t="s">
        <v>4210</v>
      </c>
      <c r="C1235" s="1" t="s">
        <v>521</v>
      </c>
      <c r="D1235" s="1" t="s">
        <v>4211</v>
      </c>
      <c r="E1235" s="1" t="s">
        <v>4140</v>
      </c>
      <c r="F1235" s="1" t="s">
        <v>524</v>
      </c>
      <c r="G1235" s="1">
        <v>38104</v>
      </c>
      <c r="H1235" s="1" t="s">
        <v>525</v>
      </c>
    </row>
    <row r="1236" spans="1:8" x14ac:dyDescent="0.35">
      <c r="A1236" s="1" t="s">
        <v>4212</v>
      </c>
      <c r="B1236" s="1" t="s">
        <v>4213</v>
      </c>
      <c r="C1236" s="1" t="s">
        <v>521</v>
      </c>
      <c r="D1236" s="1" t="s">
        <v>4214</v>
      </c>
      <c r="E1236" s="1" t="s">
        <v>4140</v>
      </c>
      <c r="F1236" s="1" t="s">
        <v>524</v>
      </c>
      <c r="G1236" s="1">
        <v>38152</v>
      </c>
      <c r="H1236" s="1" t="s">
        <v>525</v>
      </c>
    </row>
    <row r="1237" spans="1:8" x14ac:dyDescent="0.35">
      <c r="A1237" s="1" t="s">
        <v>380</v>
      </c>
      <c r="B1237" s="1" t="s">
        <v>4215</v>
      </c>
      <c r="C1237" s="1" t="s">
        <v>521</v>
      </c>
      <c r="D1237" s="1" t="s">
        <v>4216</v>
      </c>
      <c r="E1237" s="1" t="s">
        <v>4140</v>
      </c>
      <c r="F1237" s="1" t="s">
        <v>524</v>
      </c>
      <c r="G1237" s="1">
        <v>38104</v>
      </c>
      <c r="H1237" s="1" t="s">
        <v>525</v>
      </c>
    </row>
    <row r="1238" spans="1:8" x14ac:dyDescent="0.35">
      <c r="A1238" s="1" t="s">
        <v>4217</v>
      </c>
      <c r="B1238" s="1" t="s">
        <v>4218</v>
      </c>
      <c r="C1238" s="1" t="s">
        <v>521</v>
      </c>
      <c r="D1238" s="1" t="s">
        <v>4219</v>
      </c>
      <c r="E1238" s="1" t="s">
        <v>4140</v>
      </c>
      <c r="F1238" s="1" t="s">
        <v>524</v>
      </c>
      <c r="G1238" s="1">
        <v>38114</v>
      </c>
      <c r="H1238" s="1" t="s">
        <v>525</v>
      </c>
    </row>
    <row r="1239" spans="1:8" x14ac:dyDescent="0.35">
      <c r="A1239" s="1" t="s">
        <v>4220</v>
      </c>
      <c r="B1239" s="1" t="s">
        <v>4221</v>
      </c>
      <c r="C1239" s="1" t="s">
        <v>521</v>
      </c>
      <c r="D1239" s="1" t="s">
        <v>4222</v>
      </c>
      <c r="E1239" s="1" t="s">
        <v>4140</v>
      </c>
      <c r="F1239" s="1" t="s">
        <v>524</v>
      </c>
      <c r="G1239" s="1">
        <v>38114</v>
      </c>
      <c r="H1239" s="1" t="s">
        <v>525</v>
      </c>
    </row>
    <row r="1240" spans="1:8" x14ac:dyDescent="0.35">
      <c r="A1240" s="1" t="s">
        <v>4223</v>
      </c>
      <c r="B1240" s="1" t="s">
        <v>4224</v>
      </c>
      <c r="C1240" s="1" t="s">
        <v>521</v>
      </c>
      <c r="D1240" s="1" t="s">
        <v>4225</v>
      </c>
      <c r="E1240" s="1" t="s">
        <v>4140</v>
      </c>
      <c r="F1240" s="1" t="s">
        <v>524</v>
      </c>
      <c r="G1240" s="1">
        <v>38109</v>
      </c>
      <c r="H1240" s="1" t="s">
        <v>525</v>
      </c>
    </row>
    <row r="1241" spans="1:8" x14ac:dyDescent="0.35">
      <c r="A1241" s="1" t="s">
        <v>4226</v>
      </c>
      <c r="B1241" s="1" t="s">
        <v>4227</v>
      </c>
      <c r="C1241" s="1" t="s">
        <v>521</v>
      </c>
      <c r="D1241" s="1" t="s">
        <v>4228</v>
      </c>
      <c r="E1241" s="1" t="s">
        <v>4140</v>
      </c>
      <c r="F1241" s="1" t="s">
        <v>524</v>
      </c>
      <c r="G1241" s="1">
        <v>38117</v>
      </c>
      <c r="H1241" s="1" t="s">
        <v>525</v>
      </c>
    </row>
    <row r="1242" spans="1:8" x14ac:dyDescent="0.35">
      <c r="A1242" s="1" t="s">
        <v>4229</v>
      </c>
      <c r="B1242" s="1" t="s">
        <v>4230</v>
      </c>
      <c r="C1242" s="1" t="s">
        <v>521</v>
      </c>
      <c r="D1242" s="1" t="s">
        <v>4231</v>
      </c>
      <c r="E1242" s="1" t="s">
        <v>420</v>
      </c>
      <c r="F1242" s="1" t="s">
        <v>524</v>
      </c>
      <c r="G1242" s="1">
        <v>38133</v>
      </c>
      <c r="H1242" s="1" t="s">
        <v>525</v>
      </c>
    </row>
    <row r="1243" spans="1:8" x14ac:dyDescent="0.35">
      <c r="A1243" s="1" t="s">
        <v>4232</v>
      </c>
      <c r="B1243" s="1" t="s">
        <v>4233</v>
      </c>
      <c r="C1243" s="1" t="s">
        <v>521</v>
      </c>
      <c r="D1243" s="1" t="s">
        <v>4234</v>
      </c>
      <c r="E1243" s="1" t="s">
        <v>4123</v>
      </c>
      <c r="F1243" s="1" t="s">
        <v>524</v>
      </c>
      <c r="G1243" s="1">
        <v>38018</v>
      </c>
      <c r="H1243" s="1" t="s">
        <v>525</v>
      </c>
    </row>
    <row r="1244" spans="1:8" x14ac:dyDescent="0.35">
      <c r="A1244" s="1" t="s">
        <v>4235</v>
      </c>
      <c r="B1244" s="1" t="s">
        <v>4236</v>
      </c>
      <c r="C1244" s="1" t="s">
        <v>521</v>
      </c>
      <c r="D1244" s="1" t="s">
        <v>4237</v>
      </c>
      <c r="E1244" s="1" t="s">
        <v>4123</v>
      </c>
      <c r="F1244" s="1" t="s">
        <v>524</v>
      </c>
      <c r="G1244" s="1">
        <v>38018</v>
      </c>
      <c r="H1244" s="1" t="s">
        <v>525</v>
      </c>
    </row>
    <row r="1245" spans="1:8" x14ac:dyDescent="0.35">
      <c r="A1245" s="1" t="s">
        <v>381</v>
      </c>
      <c r="B1245" s="1" t="s">
        <v>4238</v>
      </c>
      <c r="C1245" s="1" t="s">
        <v>521</v>
      </c>
      <c r="D1245" s="1" t="s">
        <v>4239</v>
      </c>
      <c r="E1245" s="1" t="s">
        <v>4123</v>
      </c>
      <c r="F1245" s="1" t="s">
        <v>524</v>
      </c>
      <c r="G1245" s="1">
        <v>38016</v>
      </c>
      <c r="H1245" s="1" t="s">
        <v>525</v>
      </c>
    </row>
    <row r="1246" spans="1:8" x14ac:dyDescent="0.35">
      <c r="A1246" s="1" t="s">
        <v>382</v>
      </c>
      <c r="B1246" s="1" t="s">
        <v>4240</v>
      </c>
      <c r="C1246" s="1" t="s">
        <v>521</v>
      </c>
      <c r="D1246" s="1" t="s">
        <v>4241</v>
      </c>
      <c r="E1246" s="1" t="s">
        <v>4140</v>
      </c>
      <c r="F1246" s="1" t="s">
        <v>524</v>
      </c>
      <c r="G1246" s="1">
        <v>38128</v>
      </c>
      <c r="H1246" s="1" t="s">
        <v>525</v>
      </c>
    </row>
    <row r="1247" spans="1:8" x14ac:dyDescent="0.35">
      <c r="A1247" s="1" t="s">
        <v>4242</v>
      </c>
      <c r="B1247" s="1" t="s">
        <v>4243</v>
      </c>
      <c r="C1247" s="1" t="s">
        <v>521</v>
      </c>
      <c r="D1247" s="1" t="s">
        <v>4244</v>
      </c>
      <c r="E1247" s="1" t="s">
        <v>4140</v>
      </c>
      <c r="F1247" s="1" t="s">
        <v>524</v>
      </c>
      <c r="G1247" s="1">
        <v>38128</v>
      </c>
      <c r="H1247" s="1" t="s">
        <v>525</v>
      </c>
    </row>
    <row r="1248" spans="1:8" x14ac:dyDescent="0.35">
      <c r="A1248" s="1" t="s">
        <v>4245</v>
      </c>
      <c r="B1248" s="1" t="s">
        <v>4246</v>
      </c>
      <c r="C1248" s="1" t="s">
        <v>521</v>
      </c>
      <c r="D1248" s="1" t="s">
        <v>4247</v>
      </c>
      <c r="E1248" s="1" t="s">
        <v>4140</v>
      </c>
      <c r="F1248" s="1" t="s">
        <v>524</v>
      </c>
      <c r="G1248" s="1">
        <v>38118</v>
      </c>
      <c r="H1248" s="1" t="s">
        <v>525</v>
      </c>
    </row>
    <row r="1249" spans="1:8" x14ac:dyDescent="0.35">
      <c r="A1249" s="1" t="s">
        <v>4248</v>
      </c>
      <c r="B1249" s="1" t="s">
        <v>4249</v>
      </c>
      <c r="C1249" s="1" t="s">
        <v>521</v>
      </c>
      <c r="D1249" s="1" t="s">
        <v>4250</v>
      </c>
      <c r="E1249" s="1" t="s">
        <v>4140</v>
      </c>
      <c r="F1249" s="1" t="s">
        <v>524</v>
      </c>
      <c r="G1249" s="1">
        <v>38141</v>
      </c>
      <c r="H1249" s="1" t="s">
        <v>525</v>
      </c>
    </row>
    <row r="1250" spans="1:8" x14ac:dyDescent="0.35">
      <c r="A1250" s="1" t="s">
        <v>4251</v>
      </c>
      <c r="B1250" s="1" t="s">
        <v>4252</v>
      </c>
      <c r="C1250" s="1" t="s">
        <v>521</v>
      </c>
      <c r="D1250" s="1" t="s">
        <v>4253</v>
      </c>
      <c r="E1250" s="1" t="s">
        <v>4140</v>
      </c>
      <c r="F1250" s="1" t="s">
        <v>524</v>
      </c>
      <c r="G1250" s="1">
        <v>38106</v>
      </c>
      <c r="H1250" s="1" t="s">
        <v>525</v>
      </c>
    </row>
    <row r="1251" spans="1:8" x14ac:dyDescent="0.35">
      <c r="A1251" s="1" t="s">
        <v>4254</v>
      </c>
      <c r="B1251" s="1" t="s">
        <v>4255</v>
      </c>
      <c r="C1251" s="1" t="s">
        <v>521</v>
      </c>
      <c r="D1251" s="1" t="s">
        <v>4256</v>
      </c>
      <c r="E1251" s="1" t="s">
        <v>4140</v>
      </c>
      <c r="F1251" s="1" t="s">
        <v>524</v>
      </c>
      <c r="G1251" s="1">
        <v>38127</v>
      </c>
      <c r="H1251" s="1" t="s">
        <v>525</v>
      </c>
    </row>
    <row r="1252" spans="1:8" x14ac:dyDescent="0.35">
      <c r="A1252" s="1" t="s">
        <v>4257</v>
      </c>
      <c r="B1252" s="1" t="s">
        <v>4258</v>
      </c>
      <c r="C1252" s="1" t="s">
        <v>521</v>
      </c>
      <c r="D1252" s="1" t="s">
        <v>4259</v>
      </c>
      <c r="E1252" s="1" t="s">
        <v>4140</v>
      </c>
      <c r="F1252" s="1" t="s">
        <v>524</v>
      </c>
      <c r="G1252" s="1">
        <v>38109</v>
      </c>
      <c r="H1252" s="1" t="s">
        <v>525</v>
      </c>
    </row>
    <row r="1253" spans="1:8" x14ac:dyDescent="0.35">
      <c r="A1253" s="1" t="s">
        <v>4260</v>
      </c>
      <c r="B1253" s="1" t="s">
        <v>4261</v>
      </c>
      <c r="C1253" s="1" t="s">
        <v>521</v>
      </c>
      <c r="D1253" s="1" t="s">
        <v>4262</v>
      </c>
      <c r="E1253" s="1" t="s">
        <v>4140</v>
      </c>
      <c r="F1253" s="1" t="s">
        <v>524</v>
      </c>
      <c r="G1253" s="1">
        <v>38108</v>
      </c>
      <c r="H1253" s="1" t="s">
        <v>525</v>
      </c>
    </row>
    <row r="1254" spans="1:8" x14ac:dyDescent="0.35">
      <c r="A1254" s="1" t="s">
        <v>383</v>
      </c>
      <c r="B1254" s="1" t="s">
        <v>4263</v>
      </c>
      <c r="C1254" s="1" t="s">
        <v>521</v>
      </c>
      <c r="D1254" s="1" t="s">
        <v>4264</v>
      </c>
      <c r="E1254" s="1" t="s">
        <v>4140</v>
      </c>
      <c r="F1254" s="1" t="s">
        <v>524</v>
      </c>
      <c r="G1254" s="1">
        <v>38108</v>
      </c>
      <c r="H1254" s="1" t="s">
        <v>525</v>
      </c>
    </row>
    <row r="1255" spans="1:8" x14ac:dyDescent="0.35">
      <c r="A1255" s="1" t="s">
        <v>4265</v>
      </c>
      <c r="B1255" s="1" t="s">
        <v>4266</v>
      </c>
      <c r="C1255" s="1" t="s">
        <v>521</v>
      </c>
      <c r="D1255" s="1" t="s">
        <v>4267</v>
      </c>
      <c r="E1255" s="1" t="s">
        <v>4140</v>
      </c>
      <c r="F1255" s="1" t="s">
        <v>524</v>
      </c>
      <c r="G1255" s="1">
        <v>38103</v>
      </c>
      <c r="H1255" s="1" t="s">
        <v>525</v>
      </c>
    </row>
    <row r="1256" spans="1:8" x14ac:dyDescent="0.35">
      <c r="A1256" s="1" t="s">
        <v>4268</v>
      </c>
      <c r="B1256" s="1" t="s">
        <v>4269</v>
      </c>
      <c r="C1256" s="1" t="s">
        <v>521</v>
      </c>
      <c r="D1256" s="1" t="s">
        <v>4270</v>
      </c>
      <c r="E1256" s="1" t="s">
        <v>4140</v>
      </c>
      <c r="F1256" s="1" t="s">
        <v>524</v>
      </c>
      <c r="G1256" s="1">
        <v>38114</v>
      </c>
      <c r="H1256" s="1" t="s">
        <v>525</v>
      </c>
    </row>
    <row r="1257" spans="1:8" x14ac:dyDescent="0.35">
      <c r="A1257" s="1" t="s">
        <v>384</v>
      </c>
      <c r="B1257" s="1" t="s">
        <v>4271</v>
      </c>
      <c r="C1257" s="1" t="s">
        <v>521</v>
      </c>
      <c r="D1257" s="1" t="s">
        <v>4272</v>
      </c>
      <c r="E1257" s="1" t="s">
        <v>4140</v>
      </c>
      <c r="F1257" s="1" t="s">
        <v>524</v>
      </c>
      <c r="G1257" s="1">
        <v>38111</v>
      </c>
      <c r="H1257" s="1" t="s">
        <v>525</v>
      </c>
    </row>
    <row r="1258" spans="1:8" x14ac:dyDescent="0.35">
      <c r="A1258" s="1" t="s">
        <v>4273</v>
      </c>
      <c r="B1258" s="1" t="s">
        <v>4274</v>
      </c>
      <c r="C1258" s="1" t="s">
        <v>521</v>
      </c>
      <c r="D1258" s="1" t="s">
        <v>4275</v>
      </c>
      <c r="E1258" s="1" t="s">
        <v>4140</v>
      </c>
      <c r="F1258" s="1" t="s">
        <v>524</v>
      </c>
      <c r="G1258" s="1">
        <v>38128</v>
      </c>
      <c r="H1258" s="1" t="s">
        <v>525</v>
      </c>
    </row>
    <row r="1259" spans="1:8" x14ac:dyDescent="0.35">
      <c r="A1259" s="1" t="s">
        <v>4276</v>
      </c>
      <c r="B1259" s="1" t="s">
        <v>4277</v>
      </c>
      <c r="C1259" s="1" t="s">
        <v>521</v>
      </c>
      <c r="D1259" s="1" t="s">
        <v>4278</v>
      </c>
      <c r="E1259" s="1" t="s">
        <v>4140</v>
      </c>
      <c r="F1259" s="1" t="s">
        <v>524</v>
      </c>
      <c r="G1259" s="1">
        <v>38118</v>
      </c>
      <c r="H1259" s="1" t="s">
        <v>525</v>
      </c>
    </row>
    <row r="1260" spans="1:8" x14ac:dyDescent="0.35">
      <c r="A1260" s="1" t="s">
        <v>4279</v>
      </c>
      <c r="B1260" s="1" t="s">
        <v>4280</v>
      </c>
      <c r="C1260" s="1" t="s">
        <v>521</v>
      </c>
      <c r="D1260" s="1" t="s">
        <v>4281</v>
      </c>
      <c r="E1260" s="1" t="s">
        <v>4140</v>
      </c>
      <c r="F1260" s="1" t="s">
        <v>524</v>
      </c>
      <c r="G1260" s="1">
        <v>38109</v>
      </c>
      <c r="H1260" s="1" t="s">
        <v>525</v>
      </c>
    </row>
    <row r="1261" spans="1:8" x14ac:dyDescent="0.35">
      <c r="A1261" s="1" t="s">
        <v>4282</v>
      </c>
      <c r="B1261" s="1" t="s">
        <v>4283</v>
      </c>
      <c r="C1261" s="1" t="s">
        <v>521</v>
      </c>
      <c r="D1261" s="1" t="s">
        <v>4284</v>
      </c>
      <c r="E1261" s="1" t="s">
        <v>4140</v>
      </c>
      <c r="F1261" s="1" t="s">
        <v>524</v>
      </c>
      <c r="G1261" s="1">
        <v>38115</v>
      </c>
      <c r="H1261" s="1" t="s">
        <v>525</v>
      </c>
    </row>
    <row r="1262" spans="1:8" x14ac:dyDescent="0.35">
      <c r="A1262" s="1" t="s">
        <v>4285</v>
      </c>
      <c r="B1262" s="1" t="s">
        <v>4286</v>
      </c>
      <c r="C1262" s="1" t="s">
        <v>521</v>
      </c>
      <c r="D1262" s="1" t="s">
        <v>4287</v>
      </c>
      <c r="E1262" s="1" t="s">
        <v>4140</v>
      </c>
      <c r="F1262" s="1" t="s">
        <v>524</v>
      </c>
      <c r="G1262" s="1">
        <v>38116</v>
      </c>
      <c r="H1262" s="1" t="s">
        <v>525</v>
      </c>
    </row>
    <row r="1263" spans="1:8" x14ac:dyDescent="0.35">
      <c r="A1263" s="1" t="s">
        <v>4288</v>
      </c>
      <c r="B1263" s="1" t="s">
        <v>4289</v>
      </c>
      <c r="C1263" s="1" t="s">
        <v>521</v>
      </c>
      <c r="D1263" s="1" t="s">
        <v>4290</v>
      </c>
      <c r="E1263" s="1" t="s">
        <v>4140</v>
      </c>
      <c r="F1263" s="1" t="s">
        <v>524</v>
      </c>
      <c r="G1263" s="1">
        <v>38109</v>
      </c>
      <c r="H1263" s="1" t="s">
        <v>525</v>
      </c>
    </row>
    <row r="1264" spans="1:8" x14ac:dyDescent="0.35">
      <c r="A1264" s="1" t="s">
        <v>4291</v>
      </c>
      <c r="B1264" s="1" t="s">
        <v>4292</v>
      </c>
      <c r="C1264" s="1" t="s">
        <v>521</v>
      </c>
      <c r="D1264" s="1" t="s">
        <v>4293</v>
      </c>
      <c r="E1264" s="1" t="s">
        <v>4140</v>
      </c>
      <c r="F1264" s="1" t="s">
        <v>524</v>
      </c>
      <c r="G1264" s="1">
        <v>38127</v>
      </c>
      <c r="H1264" s="1" t="s">
        <v>525</v>
      </c>
    </row>
    <row r="1265" spans="1:8" x14ac:dyDescent="0.35">
      <c r="A1265" s="1" t="s">
        <v>4294</v>
      </c>
      <c r="B1265" s="1" t="s">
        <v>4295</v>
      </c>
      <c r="C1265" s="1" t="s">
        <v>521</v>
      </c>
      <c r="D1265" s="1" t="s">
        <v>4296</v>
      </c>
      <c r="E1265" s="1" t="s">
        <v>424</v>
      </c>
      <c r="F1265" s="1" t="s">
        <v>524</v>
      </c>
      <c r="G1265" s="1">
        <v>38125</v>
      </c>
      <c r="H1265" s="1" t="s">
        <v>525</v>
      </c>
    </row>
    <row r="1266" spans="1:8" x14ac:dyDescent="0.35">
      <c r="A1266" s="1" t="s">
        <v>4297</v>
      </c>
      <c r="B1266" s="1" t="s">
        <v>4298</v>
      </c>
      <c r="C1266" s="1" t="s">
        <v>521</v>
      </c>
      <c r="D1266" s="1" t="s">
        <v>4299</v>
      </c>
      <c r="E1266" s="1" t="s">
        <v>4140</v>
      </c>
      <c r="F1266" s="1" t="s">
        <v>524</v>
      </c>
      <c r="G1266" s="1">
        <v>38118</v>
      </c>
      <c r="H1266" s="1" t="s">
        <v>525</v>
      </c>
    </row>
    <row r="1267" spans="1:8" x14ac:dyDescent="0.35">
      <c r="A1267" s="1" t="s">
        <v>4300</v>
      </c>
      <c r="B1267" s="1" t="s">
        <v>4301</v>
      </c>
      <c r="C1267" s="1" t="s">
        <v>521</v>
      </c>
      <c r="D1267" s="1" t="s">
        <v>4302</v>
      </c>
      <c r="E1267" s="1" t="s">
        <v>4140</v>
      </c>
      <c r="F1267" s="1" t="s">
        <v>524</v>
      </c>
      <c r="G1267" s="1">
        <v>38118</v>
      </c>
      <c r="H1267" s="1" t="s">
        <v>525</v>
      </c>
    </row>
    <row r="1268" spans="1:8" x14ac:dyDescent="0.35">
      <c r="A1268" s="1" t="s">
        <v>4303</v>
      </c>
      <c r="B1268" s="1" t="s">
        <v>4304</v>
      </c>
      <c r="C1268" s="1" t="s">
        <v>521</v>
      </c>
      <c r="D1268" s="1" t="s">
        <v>4305</v>
      </c>
      <c r="E1268" s="1" t="s">
        <v>4140</v>
      </c>
      <c r="F1268" s="1" t="s">
        <v>524</v>
      </c>
      <c r="G1268" s="1">
        <v>38122</v>
      </c>
      <c r="H1268" s="1" t="s">
        <v>525</v>
      </c>
    </row>
    <row r="1269" spans="1:8" x14ac:dyDescent="0.35">
      <c r="A1269" s="1" t="s">
        <v>4306</v>
      </c>
      <c r="B1269" s="1" t="s">
        <v>4307</v>
      </c>
      <c r="C1269" s="1" t="s">
        <v>521</v>
      </c>
      <c r="D1269" s="1" t="s">
        <v>4308</v>
      </c>
      <c r="E1269" s="1" t="s">
        <v>4140</v>
      </c>
      <c r="F1269" s="1" t="s">
        <v>524</v>
      </c>
      <c r="G1269" s="1">
        <v>38106</v>
      </c>
      <c r="H1269" s="1" t="s">
        <v>525</v>
      </c>
    </row>
    <row r="1270" spans="1:8" x14ac:dyDescent="0.35">
      <c r="A1270" s="1" t="s">
        <v>4309</v>
      </c>
      <c r="B1270" s="1" t="s">
        <v>4310</v>
      </c>
      <c r="C1270" s="1" t="s">
        <v>521</v>
      </c>
      <c r="D1270" s="1" t="s">
        <v>4311</v>
      </c>
      <c r="E1270" s="1" t="s">
        <v>4140</v>
      </c>
      <c r="F1270" s="1" t="s">
        <v>524</v>
      </c>
      <c r="G1270" s="1">
        <v>38106</v>
      </c>
      <c r="H1270" s="1" t="s">
        <v>525</v>
      </c>
    </row>
    <row r="1271" spans="1:8" x14ac:dyDescent="0.35">
      <c r="A1271" s="1" t="s">
        <v>385</v>
      </c>
      <c r="B1271" s="1" t="s">
        <v>4312</v>
      </c>
      <c r="C1271" s="1" t="s">
        <v>521</v>
      </c>
      <c r="D1271" s="1" t="s">
        <v>4313</v>
      </c>
      <c r="E1271" s="1" t="s">
        <v>4140</v>
      </c>
      <c r="F1271" s="1" t="s">
        <v>524</v>
      </c>
      <c r="G1271" s="1">
        <v>38106</v>
      </c>
      <c r="H1271" s="1" t="s">
        <v>525</v>
      </c>
    </row>
    <row r="1272" spans="1:8" x14ac:dyDescent="0.35">
      <c r="A1272" s="1" t="s">
        <v>4314</v>
      </c>
      <c r="B1272" s="1" t="s">
        <v>4315</v>
      </c>
      <c r="C1272" s="1" t="s">
        <v>521</v>
      </c>
      <c r="D1272" s="1" t="s">
        <v>4316</v>
      </c>
      <c r="E1272" s="1" t="s">
        <v>4140</v>
      </c>
      <c r="F1272" s="1" t="s">
        <v>524</v>
      </c>
      <c r="G1272" s="1">
        <v>38116</v>
      </c>
      <c r="H1272" s="1" t="s">
        <v>525</v>
      </c>
    </row>
    <row r="1273" spans="1:8" x14ac:dyDescent="0.35">
      <c r="A1273" s="1" t="s">
        <v>4317</v>
      </c>
      <c r="B1273" s="1" t="s">
        <v>4318</v>
      </c>
      <c r="C1273" s="1" t="s">
        <v>521</v>
      </c>
      <c r="D1273" s="1" t="s">
        <v>4319</v>
      </c>
      <c r="E1273" s="1" t="s">
        <v>4140</v>
      </c>
      <c r="F1273" s="1" t="s">
        <v>524</v>
      </c>
      <c r="G1273" s="1">
        <v>38127</v>
      </c>
      <c r="H1273" s="1" t="s">
        <v>525</v>
      </c>
    </row>
    <row r="1274" spans="1:8" x14ac:dyDescent="0.35">
      <c r="A1274" s="1" t="s">
        <v>4320</v>
      </c>
      <c r="B1274" s="1" t="s">
        <v>4321</v>
      </c>
      <c r="C1274" s="1" t="s">
        <v>521</v>
      </c>
      <c r="D1274" s="1" t="s">
        <v>4322</v>
      </c>
      <c r="E1274" s="1" t="s">
        <v>4140</v>
      </c>
      <c r="F1274" s="1" t="s">
        <v>524</v>
      </c>
      <c r="G1274" s="1">
        <v>38115</v>
      </c>
      <c r="H1274" s="1" t="s">
        <v>525</v>
      </c>
    </row>
    <row r="1275" spans="1:8" x14ac:dyDescent="0.35">
      <c r="A1275" s="1" t="s">
        <v>4323</v>
      </c>
      <c r="B1275" s="1" t="s">
        <v>4324</v>
      </c>
      <c r="C1275" s="1" t="s">
        <v>521</v>
      </c>
      <c r="D1275" s="1" t="s">
        <v>4325</v>
      </c>
      <c r="E1275" s="1" t="s">
        <v>4140</v>
      </c>
      <c r="F1275" s="1" t="s">
        <v>524</v>
      </c>
      <c r="G1275" s="1">
        <v>38115</v>
      </c>
      <c r="H1275" s="1" t="s">
        <v>525</v>
      </c>
    </row>
    <row r="1276" spans="1:8" x14ac:dyDescent="0.35">
      <c r="A1276" s="1" t="s">
        <v>386</v>
      </c>
      <c r="B1276" s="1" t="s">
        <v>4326</v>
      </c>
      <c r="C1276" s="1" t="s">
        <v>521</v>
      </c>
      <c r="D1276" s="1" t="s">
        <v>4327</v>
      </c>
      <c r="E1276" s="1" t="s">
        <v>4140</v>
      </c>
      <c r="F1276" s="1" t="s">
        <v>524</v>
      </c>
      <c r="G1276" s="1">
        <v>38126</v>
      </c>
      <c r="H1276" s="1" t="s">
        <v>525</v>
      </c>
    </row>
    <row r="1277" spans="1:8" x14ac:dyDescent="0.35">
      <c r="A1277" s="1" t="s">
        <v>4328</v>
      </c>
      <c r="B1277" s="1" t="s">
        <v>4329</v>
      </c>
      <c r="C1277" s="1" t="s">
        <v>521</v>
      </c>
      <c r="D1277" s="1" t="s">
        <v>4330</v>
      </c>
      <c r="E1277" s="1" t="s">
        <v>4140</v>
      </c>
      <c r="F1277" s="1" t="s">
        <v>524</v>
      </c>
      <c r="G1277" s="1">
        <v>38116</v>
      </c>
      <c r="H1277" s="1" t="s">
        <v>525</v>
      </c>
    </row>
    <row r="1278" spans="1:8" x14ac:dyDescent="0.35">
      <c r="A1278" s="1" t="s">
        <v>4331</v>
      </c>
      <c r="B1278" s="1" t="s">
        <v>4332</v>
      </c>
      <c r="C1278" s="1" t="s">
        <v>521</v>
      </c>
      <c r="D1278" s="1" t="s">
        <v>4333</v>
      </c>
      <c r="E1278" s="1" t="s">
        <v>4140</v>
      </c>
      <c r="F1278" s="1" t="s">
        <v>524</v>
      </c>
      <c r="G1278" s="1">
        <v>38126</v>
      </c>
      <c r="H1278" s="1" t="s">
        <v>525</v>
      </c>
    </row>
    <row r="1279" spans="1:8" x14ac:dyDescent="0.35">
      <c r="A1279" s="1" t="s">
        <v>4334</v>
      </c>
      <c r="B1279" s="1" t="s">
        <v>4335</v>
      </c>
      <c r="C1279" s="1" t="s">
        <v>521</v>
      </c>
      <c r="D1279" s="1" t="s">
        <v>4336</v>
      </c>
      <c r="E1279" s="1" t="s">
        <v>4140</v>
      </c>
      <c r="F1279" s="1" t="s">
        <v>524</v>
      </c>
      <c r="G1279" s="1">
        <v>38104</v>
      </c>
      <c r="H1279" s="1" t="s">
        <v>525</v>
      </c>
    </row>
    <row r="1280" spans="1:8" x14ac:dyDescent="0.35">
      <c r="A1280" s="1" t="s">
        <v>4337</v>
      </c>
      <c r="B1280" s="1" t="s">
        <v>4338</v>
      </c>
      <c r="C1280" s="1" t="s">
        <v>521</v>
      </c>
      <c r="D1280" s="1" t="s">
        <v>4339</v>
      </c>
      <c r="E1280" s="1" t="s">
        <v>4140</v>
      </c>
      <c r="F1280" s="1" t="s">
        <v>524</v>
      </c>
      <c r="G1280" s="1">
        <v>38108</v>
      </c>
      <c r="H1280" s="1" t="s">
        <v>525</v>
      </c>
    </row>
    <row r="1281" spans="1:8" x14ac:dyDescent="0.35">
      <c r="A1281" s="1" t="s">
        <v>4340</v>
      </c>
      <c r="B1281" s="1" t="s">
        <v>4341</v>
      </c>
      <c r="C1281" s="1" t="s">
        <v>521</v>
      </c>
      <c r="D1281" s="1" t="s">
        <v>4342</v>
      </c>
      <c r="E1281" s="1" t="s">
        <v>4140</v>
      </c>
      <c r="F1281" s="1" t="s">
        <v>524</v>
      </c>
      <c r="G1281" s="1">
        <v>38109</v>
      </c>
      <c r="H1281" s="1" t="s">
        <v>525</v>
      </c>
    </row>
    <row r="1282" spans="1:8" x14ac:dyDescent="0.35">
      <c r="A1282" s="1" t="s">
        <v>4343</v>
      </c>
      <c r="B1282" s="1" t="s">
        <v>4344</v>
      </c>
      <c r="C1282" s="1" t="s">
        <v>521</v>
      </c>
      <c r="D1282" s="1" t="s">
        <v>4345</v>
      </c>
      <c r="E1282" s="1" t="s">
        <v>4140</v>
      </c>
      <c r="F1282" s="1" t="s">
        <v>524</v>
      </c>
      <c r="G1282" s="1">
        <v>38128</v>
      </c>
      <c r="H1282" s="1" t="s">
        <v>525</v>
      </c>
    </row>
    <row r="1283" spans="1:8" x14ac:dyDescent="0.35">
      <c r="A1283" s="1" t="s">
        <v>4346</v>
      </c>
      <c r="B1283" s="1" t="s">
        <v>4347</v>
      </c>
      <c r="C1283" s="1" t="s">
        <v>521</v>
      </c>
      <c r="D1283" s="1" t="s">
        <v>4348</v>
      </c>
      <c r="E1283" s="1" t="s">
        <v>4140</v>
      </c>
      <c r="F1283" s="1" t="s">
        <v>524</v>
      </c>
      <c r="G1283" s="1">
        <v>38108</v>
      </c>
      <c r="H1283" s="1" t="s">
        <v>525</v>
      </c>
    </row>
    <row r="1284" spans="1:8" x14ac:dyDescent="0.35">
      <c r="A1284" s="1" t="s">
        <v>4349</v>
      </c>
      <c r="B1284" s="1" t="s">
        <v>4350</v>
      </c>
      <c r="C1284" s="1" t="s">
        <v>521</v>
      </c>
      <c r="D1284" s="1" t="s">
        <v>4351</v>
      </c>
      <c r="E1284" s="1" t="s">
        <v>4140</v>
      </c>
      <c r="F1284" s="1" t="s">
        <v>524</v>
      </c>
      <c r="G1284" s="1">
        <v>38122</v>
      </c>
      <c r="H1284" s="1" t="s">
        <v>525</v>
      </c>
    </row>
    <row r="1285" spans="1:8" x14ac:dyDescent="0.35">
      <c r="A1285" s="1" t="s">
        <v>387</v>
      </c>
      <c r="B1285" s="1" t="s">
        <v>4352</v>
      </c>
      <c r="C1285" s="1" t="s">
        <v>521</v>
      </c>
      <c r="D1285" s="1" t="s">
        <v>4353</v>
      </c>
      <c r="E1285" s="1" t="s">
        <v>4140</v>
      </c>
      <c r="F1285" s="1" t="s">
        <v>524</v>
      </c>
      <c r="G1285" s="1">
        <v>38122</v>
      </c>
      <c r="H1285" s="1" t="s">
        <v>525</v>
      </c>
    </row>
    <row r="1286" spans="1:8" x14ac:dyDescent="0.35">
      <c r="A1286" s="1" t="s">
        <v>388</v>
      </c>
      <c r="B1286" s="1" t="s">
        <v>4354</v>
      </c>
      <c r="C1286" s="1" t="s">
        <v>521</v>
      </c>
      <c r="D1286" s="1" t="s">
        <v>4355</v>
      </c>
      <c r="E1286" s="1" t="s">
        <v>4140</v>
      </c>
      <c r="F1286" s="1" t="s">
        <v>524</v>
      </c>
      <c r="G1286" s="1">
        <v>38115</v>
      </c>
      <c r="H1286" s="1" t="s">
        <v>525</v>
      </c>
    </row>
    <row r="1287" spans="1:8" x14ac:dyDescent="0.35">
      <c r="A1287" s="1" t="s">
        <v>4356</v>
      </c>
      <c r="B1287" s="1" t="s">
        <v>4357</v>
      </c>
      <c r="C1287" s="1" t="s">
        <v>521</v>
      </c>
      <c r="D1287" s="1" t="s">
        <v>4358</v>
      </c>
      <c r="E1287" s="1" t="s">
        <v>4140</v>
      </c>
      <c r="F1287" s="1" t="s">
        <v>524</v>
      </c>
      <c r="G1287" s="1">
        <v>38118</v>
      </c>
      <c r="H1287" s="1" t="s">
        <v>525</v>
      </c>
    </row>
    <row r="1288" spans="1:8" x14ac:dyDescent="0.35">
      <c r="A1288" s="1" t="s">
        <v>4359</v>
      </c>
      <c r="B1288" s="1" t="s">
        <v>4360</v>
      </c>
      <c r="C1288" s="1" t="s">
        <v>521</v>
      </c>
      <c r="D1288" s="1" t="s">
        <v>4361</v>
      </c>
      <c r="E1288" s="1" t="s">
        <v>4140</v>
      </c>
      <c r="F1288" s="1" t="s">
        <v>524</v>
      </c>
      <c r="G1288" s="1">
        <v>38126</v>
      </c>
      <c r="H1288" s="1" t="s">
        <v>525</v>
      </c>
    </row>
    <row r="1289" spans="1:8" x14ac:dyDescent="0.35">
      <c r="A1289" s="1" t="s">
        <v>4362</v>
      </c>
      <c r="B1289" s="1" t="s">
        <v>4363</v>
      </c>
      <c r="C1289" s="1" t="s">
        <v>521</v>
      </c>
      <c r="D1289" s="1" t="s">
        <v>4364</v>
      </c>
      <c r="E1289" s="1" t="s">
        <v>4140</v>
      </c>
      <c r="F1289" s="1" t="s">
        <v>524</v>
      </c>
      <c r="G1289" s="1">
        <v>38109</v>
      </c>
      <c r="H1289" s="1" t="s">
        <v>525</v>
      </c>
    </row>
    <row r="1290" spans="1:8" x14ac:dyDescent="0.35">
      <c r="A1290" s="1" t="s">
        <v>4365</v>
      </c>
      <c r="B1290" s="1" t="s">
        <v>4366</v>
      </c>
      <c r="C1290" s="1" t="s">
        <v>521</v>
      </c>
      <c r="D1290" s="1" t="s">
        <v>4367</v>
      </c>
      <c r="E1290" s="1" t="s">
        <v>4140</v>
      </c>
      <c r="F1290" s="1" t="s">
        <v>524</v>
      </c>
      <c r="G1290" s="1">
        <v>38127</v>
      </c>
      <c r="H1290" s="1" t="s">
        <v>525</v>
      </c>
    </row>
    <row r="1291" spans="1:8" x14ac:dyDescent="0.35">
      <c r="A1291" s="1" t="s">
        <v>4368</v>
      </c>
      <c r="B1291" s="1" t="s">
        <v>4369</v>
      </c>
      <c r="C1291" s="1" t="s">
        <v>521</v>
      </c>
      <c r="D1291" s="1" t="s">
        <v>4370</v>
      </c>
      <c r="E1291" s="1" t="s">
        <v>4140</v>
      </c>
      <c r="F1291" s="1" t="s">
        <v>524</v>
      </c>
      <c r="G1291" s="1">
        <v>38114</v>
      </c>
      <c r="H1291" s="1" t="s">
        <v>525</v>
      </c>
    </row>
    <row r="1292" spans="1:8" x14ac:dyDescent="0.35">
      <c r="A1292" s="1" t="s">
        <v>389</v>
      </c>
      <c r="B1292" s="1" t="s">
        <v>4371</v>
      </c>
      <c r="C1292" s="1" t="s">
        <v>521</v>
      </c>
      <c r="D1292" s="1" t="s">
        <v>4372</v>
      </c>
      <c r="E1292" s="1" t="s">
        <v>4140</v>
      </c>
      <c r="F1292" s="1" t="s">
        <v>524</v>
      </c>
      <c r="G1292" s="1">
        <v>38107</v>
      </c>
      <c r="H1292" s="1" t="s">
        <v>525</v>
      </c>
    </row>
    <row r="1293" spans="1:8" x14ac:dyDescent="0.35">
      <c r="A1293" s="1" t="s">
        <v>4373</v>
      </c>
      <c r="B1293" s="1" t="s">
        <v>4374</v>
      </c>
      <c r="C1293" s="1" t="s">
        <v>521</v>
      </c>
      <c r="D1293" s="1" t="s">
        <v>4375</v>
      </c>
      <c r="E1293" s="1" t="s">
        <v>4140</v>
      </c>
      <c r="F1293" s="1" t="s">
        <v>524</v>
      </c>
      <c r="G1293" s="1">
        <v>38109</v>
      </c>
      <c r="H1293" s="1" t="s">
        <v>525</v>
      </c>
    </row>
    <row r="1294" spans="1:8" x14ac:dyDescent="0.35">
      <c r="A1294" s="1" t="s">
        <v>390</v>
      </c>
      <c r="B1294" s="1" t="s">
        <v>4376</v>
      </c>
      <c r="C1294" s="1" t="s">
        <v>521</v>
      </c>
      <c r="D1294" s="1" t="s">
        <v>4377</v>
      </c>
      <c r="E1294" s="1" t="s">
        <v>4140</v>
      </c>
      <c r="F1294" s="1" t="s">
        <v>524</v>
      </c>
      <c r="G1294" s="1">
        <v>38114</v>
      </c>
      <c r="H1294" s="1" t="s">
        <v>525</v>
      </c>
    </row>
    <row r="1295" spans="1:8" x14ac:dyDescent="0.35">
      <c r="A1295" s="1" t="s">
        <v>391</v>
      </c>
      <c r="B1295" s="1" t="s">
        <v>1491</v>
      </c>
      <c r="C1295" s="1" t="s">
        <v>521</v>
      </c>
      <c r="D1295" s="1" t="s">
        <v>4378</v>
      </c>
      <c r="E1295" s="1" t="s">
        <v>4140</v>
      </c>
      <c r="F1295" s="1" t="s">
        <v>524</v>
      </c>
      <c r="G1295" s="1">
        <v>38104</v>
      </c>
      <c r="H1295" s="1" t="s">
        <v>525</v>
      </c>
    </row>
    <row r="1296" spans="1:8" x14ac:dyDescent="0.35">
      <c r="A1296" s="1" t="s">
        <v>392</v>
      </c>
      <c r="B1296" s="1" t="s">
        <v>4379</v>
      </c>
      <c r="C1296" s="1" t="s">
        <v>521</v>
      </c>
      <c r="D1296" s="1" t="s">
        <v>4380</v>
      </c>
      <c r="E1296" s="1" t="s">
        <v>4140</v>
      </c>
      <c r="F1296" s="1" t="s">
        <v>524</v>
      </c>
      <c r="G1296" s="1">
        <v>38109</v>
      </c>
      <c r="H1296" s="1" t="s">
        <v>525</v>
      </c>
    </row>
    <row r="1297" spans="1:8" x14ac:dyDescent="0.35">
      <c r="A1297" s="1" t="s">
        <v>4381</v>
      </c>
      <c r="B1297" s="1" t="s">
        <v>4382</v>
      </c>
      <c r="C1297" s="1" t="s">
        <v>521</v>
      </c>
      <c r="D1297" s="1" t="s">
        <v>4383</v>
      </c>
      <c r="E1297" s="1" t="s">
        <v>4140</v>
      </c>
      <c r="F1297" s="1" t="s">
        <v>524</v>
      </c>
      <c r="G1297" s="1">
        <v>38115</v>
      </c>
      <c r="H1297" s="1" t="s">
        <v>525</v>
      </c>
    </row>
    <row r="1298" spans="1:8" x14ac:dyDescent="0.35">
      <c r="A1298" s="1" t="s">
        <v>4384</v>
      </c>
      <c r="B1298" s="1" t="s">
        <v>4385</v>
      </c>
      <c r="C1298" s="1" t="s">
        <v>521</v>
      </c>
      <c r="D1298" s="1" t="s">
        <v>4386</v>
      </c>
      <c r="E1298" s="1" t="s">
        <v>4140</v>
      </c>
      <c r="F1298" s="1" t="s">
        <v>524</v>
      </c>
      <c r="G1298" s="1">
        <v>38118</v>
      </c>
      <c r="H1298" s="1" t="s">
        <v>525</v>
      </c>
    </row>
    <row r="1299" spans="1:8" x14ac:dyDescent="0.35">
      <c r="A1299" s="1" t="s">
        <v>4387</v>
      </c>
      <c r="B1299" s="1" t="s">
        <v>4388</v>
      </c>
      <c r="C1299" s="1" t="s">
        <v>521</v>
      </c>
      <c r="D1299" s="1" t="s">
        <v>4389</v>
      </c>
      <c r="E1299" s="1" t="s">
        <v>4140</v>
      </c>
      <c r="F1299" s="1" t="s">
        <v>524</v>
      </c>
      <c r="G1299" s="1">
        <v>38108</v>
      </c>
      <c r="H1299" s="1" t="s">
        <v>525</v>
      </c>
    </row>
    <row r="1300" spans="1:8" x14ac:dyDescent="0.35">
      <c r="A1300" s="1" t="s">
        <v>393</v>
      </c>
      <c r="B1300" s="1" t="s">
        <v>4390</v>
      </c>
      <c r="C1300" s="1" t="s">
        <v>521</v>
      </c>
      <c r="D1300" s="1" t="s">
        <v>4389</v>
      </c>
      <c r="E1300" s="1" t="s">
        <v>4140</v>
      </c>
      <c r="F1300" s="1" t="s">
        <v>524</v>
      </c>
      <c r="G1300" s="1">
        <v>38118</v>
      </c>
      <c r="H1300" s="1" t="s">
        <v>525</v>
      </c>
    </row>
    <row r="1301" spans="1:8" x14ac:dyDescent="0.35">
      <c r="A1301" s="1" t="s">
        <v>4391</v>
      </c>
      <c r="B1301" s="1" t="s">
        <v>4392</v>
      </c>
      <c r="C1301" s="1" t="s">
        <v>521</v>
      </c>
      <c r="D1301" s="1" t="s">
        <v>4393</v>
      </c>
      <c r="E1301" s="1" t="s">
        <v>4140</v>
      </c>
      <c r="F1301" s="1" t="s">
        <v>524</v>
      </c>
      <c r="G1301" s="1">
        <v>38116</v>
      </c>
      <c r="H1301" s="1" t="s">
        <v>525</v>
      </c>
    </row>
    <row r="1302" spans="1:8" x14ac:dyDescent="0.35">
      <c r="A1302" s="1" t="s">
        <v>394</v>
      </c>
      <c r="B1302" s="1" t="s">
        <v>4394</v>
      </c>
      <c r="C1302" s="1" t="s">
        <v>521</v>
      </c>
      <c r="D1302" s="1" t="s">
        <v>4395</v>
      </c>
      <c r="E1302" s="1" t="s">
        <v>4140</v>
      </c>
      <c r="F1302" s="1" t="s">
        <v>524</v>
      </c>
      <c r="G1302" s="1">
        <v>38117</v>
      </c>
      <c r="H1302" s="1" t="s">
        <v>525</v>
      </c>
    </row>
    <row r="1303" spans="1:8" x14ac:dyDescent="0.35">
      <c r="A1303" s="1" t="s">
        <v>4396</v>
      </c>
      <c r="B1303" s="1" t="s">
        <v>4397</v>
      </c>
      <c r="C1303" s="1" t="s">
        <v>521</v>
      </c>
      <c r="D1303" s="1" t="s">
        <v>4398</v>
      </c>
      <c r="E1303" s="1" t="s">
        <v>4140</v>
      </c>
      <c r="F1303" s="1" t="s">
        <v>524</v>
      </c>
      <c r="G1303" s="1">
        <v>38104</v>
      </c>
      <c r="H1303" s="1" t="s">
        <v>525</v>
      </c>
    </row>
    <row r="1304" spans="1:8" x14ac:dyDescent="0.35">
      <c r="A1304" s="1" t="s">
        <v>4399</v>
      </c>
      <c r="B1304" s="1" t="s">
        <v>4400</v>
      </c>
      <c r="C1304" s="1" t="s">
        <v>521</v>
      </c>
      <c r="D1304" s="1" t="s">
        <v>4401</v>
      </c>
      <c r="E1304" s="1" t="s">
        <v>4140</v>
      </c>
      <c r="F1304" s="1" t="s">
        <v>524</v>
      </c>
      <c r="G1304" s="1">
        <v>38134</v>
      </c>
      <c r="H1304" s="1" t="s">
        <v>525</v>
      </c>
    </row>
    <row r="1305" spans="1:8" x14ac:dyDescent="0.35">
      <c r="A1305" s="1" t="s">
        <v>395</v>
      </c>
      <c r="B1305" s="1" t="s">
        <v>4402</v>
      </c>
      <c r="C1305" s="1" t="s">
        <v>521</v>
      </c>
      <c r="D1305" s="1" t="s">
        <v>4403</v>
      </c>
      <c r="E1305" s="1" t="s">
        <v>4140</v>
      </c>
      <c r="F1305" s="1" t="s">
        <v>524</v>
      </c>
      <c r="G1305" s="1">
        <v>38128</v>
      </c>
      <c r="H1305" s="1" t="s">
        <v>525</v>
      </c>
    </row>
    <row r="1306" spans="1:8" x14ac:dyDescent="0.35">
      <c r="A1306" s="1" t="s">
        <v>4404</v>
      </c>
      <c r="B1306" s="1" t="s">
        <v>1990</v>
      </c>
      <c r="C1306" s="1" t="s">
        <v>521</v>
      </c>
      <c r="D1306" s="1" t="s">
        <v>4405</v>
      </c>
      <c r="E1306" s="1" t="s">
        <v>4140</v>
      </c>
      <c r="F1306" s="1" t="s">
        <v>524</v>
      </c>
      <c r="G1306" s="1">
        <v>38120</v>
      </c>
      <c r="H1306" s="1" t="s">
        <v>525</v>
      </c>
    </row>
    <row r="1307" spans="1:8" x14ac:dyDescent="0.35">
      <c r="A1307" s="1" t="s">
        <v>4406</v>
      </c>
      <c r="B1307" s="1" t="s">
        <v>4407</v>
      </c>
      <c r="C1307" s="1" t="s">
        <v>521</v>
      </c>
      <c r="D1307" s="1" t="s">
        <v>4408</v>
      </c>
      <c r="E1307" s="1" t="s">
        <v>4140</v>
      </c>
      <c r="F1307" s="1" t="s">
        <v>524</v>
      </c>
      <c r="G1307" s="1">
        <v>38119</v>
      </c>
      <c r="H1307" s="1" t="s">
        <v>525</v>
      </c>
    </row>
    <row r="1308" spans="1:8" x14ac:dyDescent="0.35">
      <c r="A1308" s="1" t="s">
        <v>4409</v>
      </c>
      <c r="B1308" s="1" t="s">
        <v>4410</v>
      </c>
      <c r="C1308" s="1" t="s">
        <v>521</v>
      </c>
      <c r="D1308" s="1" t="s">
        <v>4411</v>
      </c>
      <c r="E1308" s="1" t="s">
        <v>4140</v>
      </c>
      <c r="F1308" s="1" t="s">
        <v>524</v>
      </c>
      <c r="G1308" s="1">
        <v>38119</v>
      </c>
      <c r="H1308" s="1" t="s">
        <v>525</v>
      </c>
    </row>
    <row r="1309" spans="1:8" x14ac:dyDescent="0.35">
      <c r="A1309" s="1" t="s">
        <v>396</v>
      </c>
      <c r="B1309" s="1" t="s">
        <v>4412</v>
      </c>
      <c r="C1309" s="1" t="s">
        <v>521</v>
      </c>
      <c r="D1309" s="1" t="s">
        <v>4413</v>
      </c>
      <c r="E1309" s="1" t="s">
        <v>4140</v>
      </c>
      <c r="F1309" s="1" t="s">
        <v>524</v>
      </c>
      <c r="G1309" s="1">
        <v>38119</v>
      </c>
      <c r="H1309" s="1" t="s">
        <v>525</v>
      </c>
    </row>
    <row r="1310" spans="1:8" x14ac:dyDescent="0.35">
      <c r="A1310" s="1" t="s">
        <v>4414</v>
      </c>
      <c r="B1310" s="1" t="s">
        <v>4415</v>
      </c>
      <c r="C1310" s="1" t="s">
        <v>521</v>
      </c>
      <c r="D1310" s="1" t="s">
        <v>4416</v>
      </c>
      <c r="E1310" s="1" t="s">
        <v>4140</v>
      </c>
      <c r="F1310" s="1" t="s">
        <v>524</v>
      </c>
      <c r="G1310" s="1">
        <v>38109</v>
      </c>
      <c r="H1310" s="1" t="s">
        <v>525</v>
      </c>
    </row>
    <row r="1311" spans="1:8" x14ac:dyDescent="0.35">
      <c r="A1311" s="1" t="s">
        <v>4417</v>
      </c>
      <c r="B1311" s="1" t="s">
        <v>4418</v>
      </c>
      <c r="C1311" s="1" t="s">
        <v>521</v>
      </c>
      <c r="D1311" s="1" t="s">
        <v>4419</v>
      </c>
      <c r="E1311" s="1" t="s">
        <v>4140</v>
      </c>
      <c r="F1311" s="1" t="s">
        <v>524</v>
      </c>
      <c r="G1311" s="1">
        <v>38116</v>
      </c>
      <c r="H1311" s="1" t="s">
        <v>525</v>
      </c>
    </row>
    <row r="1312" spans="1:8" x14ac:dyDescent="0.35">
      <c r="A1312" s="1" t="s">
        <v>4420</v>
      </c>
      <c r="B1312" s="1" t="s">
        <v>4421</v>
      </c>
      <c r="C1312" s="1" t="s">
        <v>521</v>
      </c>
      <c r="D1312" s="1" t="s">
        <v>4422</v>
      </c>
      <c r="E1312" s="1" t="s">
        <v>4140</v>
      </c>
      <c r="F1312" s="1" t="s">
        <v>524</v>
      </c>
      <c r="G1312" s="1">
        <v>38141</v>
      </c>
      <c r="H1312" s="1" t="s">
        <v>525</v>
      </c>
    </row>
    <row r="1313" spans="1:8" x14ac:dyDescent="0.35">
      <c r="A1313" s="1" t="s">
        <v>4423</v>
      </c>
      <c r="B1313" s="1" t="s">
        <v>4424</v>
      </c>
      <c r="C1313" s="1" t="s">
        <v>521</v>
      </c>
      <c r="D1313" s="1" t="s">
        <v>4425</v>
      </c>
      <c r="E1313" s="1" t="s">
        <v>4140</v>
      </c>
      <c r="F1313" s="1" t="s">
        <v>524</v>
      </c>
      <c r="G1313" s="1">
        <v>38114</v>
      </c>
      <c r="H1313" s="1" t="s">
        <v>525</v>
      </c>
    </row>
    <row r="1314" spans="1:8" x14ac:dyDescent="0.35">
      <c r="A1314" s="1" t="s">
        <v>4426</v>
      </c>
      <c r="B1314" s="1" t="s">
        <v>4427</v>
      </c>
      <c r="C1314" s="1" t="s">
        <v>521</v>
      </c>
      <c r="D1314" s="1" t="s">
        <v>4428</v>
      </c>
      <c r="E1314" s="1" t="s">
        <v>4140</v>
      </c>
      <c r="F1314" s="1" t="s">
        <v>524</v>
      </c>
      <c r="G1314" s="1">
        <v>38128</v>
      </c>
      <c r="H1314" s="1" t="s">
        <v>525</v>
      </c>
    </row>
    <row r="1315" spans="1:8" x14ac:dyDescent="0.35">
      <c r="A1315" s="1" t="s">
        <v>4429</v>
      </c>
      <c r="B1315" s="1" t="s">
        <v>4430</v>
      </c>
      <c r="C1315" s="1" t="s">
        <v>521</v>
      </c>
      <c r="D1315" s="1" t="s">
        <v>4431</v>
      </c>
      <c r="E1315" s="1" t="s">
        <v>4140</v>
      </c>
      <c r="F1315" s="1" t="s">
        <v>524</v>
      </c>
      <c r="G1315" s="1">
        <v>38117</v>
      </c>
      <c r="H1315" s="1" t="s">
        <v>525</v>
      </c>
    </row>
    <row r="1316" spans="1:8" x14ac:dyDescent="0.35">
      <c r="A1316" s="1" t="s">
        <v>4432</v>
      </c>
      <c r="B1316" s="1" t="s">
        <v>4433</v>
      </c>
      <c r="C1316" s="1" t="s">
        <v>521</v>
      </c>
      <c r="D1316" s="1" t="s">
        <v>4434</v>
      </c>
      <c r="E1316" s="1" t="s">
        <v>4140</v>
      </c>
      <c r="F1316" s="1" t="s">
        <v>524</v>
      </c>
      <c r="G1316" s="1">
        <v>38120</v>
      </c>
      <c r="H1316" s="1" t="s">
        <v>525</v>
      </c>
    </row>
    <row r="1317" spans="1:8" x14ac:dyDescent="0.35">
      <c r="A1317" s="1" t="s">
        <v>4435</v>
      </c>
      <c r="B1317" s="1" t="s">
        <v>4436</v>
      </c>
      <c r="C1317" s="1" t="s">
        <v>521</v>
      </c>
      <c r="D1317" s="1" t="s">
        <v>4437</v>
      </c>
      <c r="E1317" s="1" t="s">
        <v>4140</v>
      </c>
      <c r="F1317" s="1" t="s">
        <v>524</v>
      </c>
      <c r="G1317" s="1">
        <v>38111</v>
      </c>
      <c r="H1317" s="1" t="s">
        <v>525</v>
      </c>
    </row>
    <row r="1318" spans="1:8" x14ac:dyDescent="0.35">
      <c r="A1318" s="1" t="s">
        <v>4438</v>
      </c>
      <c r="B1318" s="1" t="s">
        <v>4439</v>
      </c>
      <c r="C1318" s="1" t="s">
        <v>521</v>
      </c>
      <c r="D1318" s="1" t="s">
        <v>4440</v>
      </c>
      <c r="E1318" s="1" t="s">
        <v>4140</v>
      </c>
      <c r="F1318" s="1" t="s">
        <v>524</v>
      </c>
      <c r="G1318" s="1">
        <v>38118</v>
      </c>
      <c r="H1318" s="1" t="s">
        <v>525</v>
      </c>
    </row>
    <row r="1319" spans="1:8" x14ac:dyDescent="0.35">
      <c r="A1319" s="1" t="s">
        <v>397</v>
      </c>
      <c r="B1319" s="1" t="s">
        <v>4441</v>
      </c>
      <c r="C1319" s="1" t="s">
        <v>521</v>
      </c>
      <c r="D1319" s="1" t="s">
        <v>4442</v>
      </c>
      <c r="E1319" s="1" t="s">
        <v>4140</v>
      </c>
      <c r="F1319" s="1" t="s">
        <v>524</v>
      </c>
      <c r="G1319" s="1">
        <v>38118</v>
      </c>
      <c r="H1319" s="1" t="s">
        <v>525</v>
      </c>
    </row>
    <row r="1320" spans="1:8" x14ac:dyDescent="0.35">
      <c r="A1320" s="1" t="s">
        <v>4443</v>
      </c>
      <c r="B1320" s="1" t="s">
        <v>4444</v>
      </c>
      <c r="C1320" s="1" t="s">
        <v>521</v>
      </c>
      <c r="D1320" s="1" t="s">
        <v>4445</v>
      </c>
      <c r="E1320" s="1" t="s">
        <v>4140</v>
      </c>
      <c r="F1320" s="1" t="s">
        <v>524</v>
      </c>
      <c r="G1320" s="1">
        <v>38111</v>
      </c>
      <c r="H1320" s="1" t="s">
        <v>525</v>
      </c>
    </row>
    <row r="1321" spans="1:8" x14ac:dyDescent="0.35">
      <c r="A1321" s="1" t="s">
        <v>4446</v>
      </c>
      <c r="B1321" s="1" t="s">
        <v>4447</v>
      </c>
      <c r="C1321" s="1" t="s">
        <v>521</v>
      </c>
      <c r="D1321" s="1" t="s">
        <v>4448</v>
      </c>
      <c r="E1321" s="1" t="s">
        <v>4140</v>
      </c>
      <c r="F1321" s="1" t="s">
        <v>524</v>
      </c>
      <c r="G1321" s="1">
        <v>38111</v>
      </c>
      <c r="H1321" s="1" t="s">
        <v>525</v>
      </c>
    </row>
    <row r="1322" spans="1:8" x14ac:dyDescent="0.35">
      <c r="A1322" s="1" t="s">
        <v>4449</v>
      </c>
      <c r="B1322" s="1" t="s">
        <v>4450</v>
      </c>
      <c r="C1322" s="1" t="s">
        <v>521</v>
      </c>
      <c r="D1322" s="1" t="s">
        <v>4451</v>
      </c>
      <c r="E1322" s="1" t="s">
        <v>4140</v>
      </c>
      <c r="F1322" s="1" t="s">
        <v>524</v>
      </c>
      <c r="G1322" s="1">
        <v>38118</v>
      </c>
      <c r="H1322" s="1" t="s">
        <v>525</v>
      </c>
    </row>
    <row r="1323" spans="1:8" x14ac:dyDescent="0.35">
      <c r="A1323" s="1" t="s">
        <v>4452</v>
      </c>
      <c r="B1323" s="1" t="s">
        <v>4453</v>
      </c>
      <c r="C1323" s="1" t="s">
        <v>521</v>
      </c>
      <c r="D1323" s="1" t="s">
        <v>4454</v>
      </c>
      <c r="E1323" s="1" t="s">
        <v>4140</v>
      </c>
      <c r="F1323" s="1" t="s">
        <v>524</v>
      </c>
      <c r="G1323" s="1">
        <v>38134</v>
      </c>
      <c r="H1323" s="1" t="s">
        <v>525</v>
      </c>
    </row>
    <row r="1324" spans="1:8" x14ac:dyDescent="0.35">
      <c r="A1324" s="1" t="s">
        <v>4455</v>
      </c>
      <c r="B1324" s="1" t="s">
        <v>4456</v>
      </c>
      <c r="C1324" s="1" t="s">
        <v>521</v>
      </c>
      <c r="D1324" s="1" t="s">
        <v>4457</v>
      </c>
      <c r="E1324" s="1" t="s">
        <v>4140</v>
      </c>
      <c r="F1324" s="1" t="s">
        <v>524</v>
      </c>
      <c r="G1324" s="1">
        <v>38112</v>
      </c>
      <c r="H1324" s="1" t="s">
        <v>525</v>
      </c>
    </row>
    <row r="1325" spans="1:8" x14ac:dyDescent="0.35">
      <c r="A1325" s="1" t="s">
        <v>4458</v>
      </c>
      <c r="B1325" s="1" t="s">
        <v>4459</v>
      </c>
      <c r="C1325" s="1" t="s">
        <v>521</v>
      </c>
      <c r="D1325" s="1" t="s">
        <v>4460</v>
      </c>
      <c r="E1325" s="1" t="s">
        <v>4140</v>
      </c>
      <c r="F1325" s="1" t="s">
        <v>524</v>
      </c>
      <c r="G1325" s="1">
        <v>38119</v>
      </c>
      <c r="H1325" s="1" t="s">
        <v>525</v>
      </c>
    </row>
    <row r="1326" spans="1:8" x14ac:dyDescent="0.35">
      <c r="A1326" s="1" t="s">
        <v>4461</v>
      </c>
      <c r="B1326" s="1" t="s">
        <v>4462</v>
      </c>
      <c r="C1326" s="1" t="s">
        <v>521</v>
      </c>
      <c r="D1326" s="1" t="s">
        <v>4463</v>
      </c>
      <c r="E1326" s="1" t="s">
        <v>4140</v>
      </c>
      <c r="F1326" s="1" t="s">
        <v>524</v>
      </c>
      <c r="G1326" s="1">
        <v>38111</v>
      </c>
      <c r="H1326" s="1" t="s">
        <v>525</v>
      </c>
    </row>
    <row r="1327" spans="1:8" x14ac:dyDescent="0.35">
      <c r="A1327" s="1" t="s">
        <v>4464</v>
      </c>
      <c r="B1327" s="1" t="s">
        <v>4465</v>
      </c>
      <c r="C1327" s="1" t="s">
        <v>521</v>
      </c>
      <c r="D1327" s="1" t="s">
        <v>4466</v>
      </c>
      <c r="E1327" s="1" t="s">
        <v>4140</v>
      </c>
      <c r="F1327" s="1" t="s">
        <v>524</v>
      </c>
      <c r="G1327" s="1">
        <v>38112</v>
      </c>
      <c r="H1327" s="1" t="s">
        <v>525</v>
      </c>
    </row>
    <row r="1328" spans="1:8" x14ac:dyDescent="0.35">
      <c r="A1328" s="1" t="s">
        <v>4467</v>
      </c>
      <c r="B1328" s="1" t="s">
        <v>1091</v>
      </c>
      <c r="C1328" s="1" t="s">
        <v>521</v>
      </c>
      <c r="D1328" s="1" t="s">
        <v>4468</v>
      </c>
      <c r="E1328" s="1" t="s">
        <v>4140</v>
      </c>
      <c r="F1328" s="1" t="s">
        <v>524</v>
      </c>
      <c r="G1328" s="1">
        <v>38108</v>
      </c>
      <c r="H1328" s="1" t="s">
        <v>525</v>
      </c>
    </row>
    <row r="1329" spans="1:8" x14ac:dyDescent="0.35">
      <c r="A1329" s="1" t="s">
        <v>4469</v>
      </c>
      <c r="B1329" s="1" t="s">
        <v>4470</v>
      </c>
      <c r="C1329" s="1" t="s">
        <v>521</v>
      </c>
      <c r="D1329" s="1" t="s">
        <v>4471</v>
      </c>
      <c r="E1329" s="1" t="s">
        <v>4140</v>
      </c>
      <c r="F1329" s="1" t="s">
        <v>524</v>
      </c>
      <c r="G1329" s="1">
        <v>38122</v>
      </c>
      <c r="H1329" s="1" t="s">
        <v>525</v>
      </c>
    </row>
    <row r="1330" spans="1:8" x14ac:dyDescent="0.35">
      <c r="A1330" s="1" t="s">
        <v>4472</v>
      </c>
      <c r="B1330" s="1" t="s">
        <v>4473</v>
      </c>
      <c r="C1330" s="1" t="s">
        <v>521</v>
      </c>
      <c r="D1330" s="1" t="s">
        <v>4474</v>
      </c>
      <c r="E1330" s="1" t="s">
        <v>4123</v>
      </c>
      <c r="F1330" s="1" t="s">
        <v>524</v>
      </c>
      <c r="G1330" s="1">
        <v>38016</v>
      </c>
      <c r="H1330" s="1" t="s">
        <v>525</v>
      </c>
    </row>
    <row r="1331" spans="1:8" x14ac:dyDescent="0.35">
      <c r="A1331" s="1" t="s">
        <v>4475</v>
      </c>
      <c r="B1331" s="1" t="s">
        <v>4476</v>
      </c>
      <c r="C1331" s="1" t="s">
        <v>521</v>
      </c>
      <c r="D1331" s="1" t="s">
        <v>4477</v>
      </c>
      <c r="E1331" s="1" t="s">
        <v>4140</v>
      </c>
      <c r="F1331" s="1" t="s">
        <v>524</v>
      </c>
      <c r="G1331" s="1">
        <v>38122</v>
      </c>
      <c r="H1331" s="1" t="s">
        <v>525</v>
      </c>
    </row>
    <row r="1332" spans="1:8" x14ac:dyDescent="0.35">
      <c r="A1332" s="1" t="s">
        <v>398</v>
      </c>
      <c r="B1332" s="1" t="s">
        <v>4478</v>
      </c>
      <c r="C1332" s="1" t="s">
        <v>521</v>
      </c>
      <c r="D1332" s="1" t="s">
        <v>4479</v>
      </c>
      <c r="E1332" s="1" t="s">
        <v>4140</v>
      </c>
      <c r="F1332" s="1" t="s">
        <v>524</v>
      </c>
      <c r="G1332" s="1">
        <v>38127</v>
      </c>
      <c r="H1332" s="1" t="s">
        <v>525</v>
      </c>
    </row>
    <row r="1333" spans="1:8" x14ac:dyDescent="0.35">
      <c r="A1333" s="1" t="s">
        <v>4480</v>
      </c>
      <c r="B1333" s="1" t="s">
        <v>4481</v>
      </c>
      <c r="C1333" s="1" t="s">
        <v>521</v>
      </c>
      <c r="D1333" s="1" t="s">
        <v>4482</v>
      </c>
      <c r="E1333" s="1" t="s">
        <v>4140</v>
      </c>
      <c r="F1333" s="1" t="s">
        <v>524</v>
      </c>
      <c r="G1333" s="1">
        <v>38107</v>
      </c>
      <c r="H1333" s="1" t="s">
        <v>525</v>
      </c>
    </row>
    <row r="1334" spans="1:8" x14ac:dyDescent="0.35">
      <c r="A1334" s="1" t="s">
        <v>4483</v>
      </c>
      <c r="B1334" s="1" t="s">
        <v>4484</v>
      </c>
      <c r="C1334" s="1" t="s">
        <v>521</v>
      </c>
      <c r="D1334" s="1" t="s">
        <v>4485</v>
      </c>
      <c r="E1334" s="1" t="s">
        <v>4140</v>
      </c>
      <c r="F1334" s="1" t="s">
        <v>524</v>
      </c>
      <c r="G1334" s="1">
        <v>38116</v>
      </c>
      <c r="H1334" s="1" t="s">
        <v>525</v>
      </c>
    </row>
    <row r="1335" spans="1:8" x14ac:dyDescent="0.35">
      <c r="A1335" s="1" t="s">
        <v>4486</v>
      </c>
      <c r="B1335" s="1" t="s">
        <v>4487</v>
      </c>
      <c r="C1335" s="1" t="s">
        <v>521</v>
      </c>
      <c r="D1335" s="1" t="s">
        <v>4488</v>
      </c>
      <c r="E1335" s="1" t="s">
        <v>4140</v>
      </c>
      <c r="F1335" s="1" t="s">
        <v>524</v>
      </c>
      <c r="G1335" s="1">
        <v>38108</v>
      </c>
      <c r="H1335" s="1" t="s">
        <v>525</v>
      </c>
    </row>
    <row r="1336" spans="1:8" x14ac:dyDescent="0.35">
      <c r="A1336" s="1" t="s">
        <v>4489</v>
      </c>
      <c r="B1336" s="1" t="s">
        <v>3122</v>
      </c>
      <c r="C1336" s="1" t="s">
        <v>521</v>
      </c>
      <c r="D1336" s="1" t="s">
        <v>4490</v>
      </c>
      <c r="E1336" s="1" t="s">
        <v>4140</v>
      </c>
      <c r="F1336" s="1" t="s">
        <v>524</v>
      </c>
      <c r="G1336" s="1">
        <v>38127</v>
      </c>
      <c r="H1336" s="1" t="s">
        <v>525</v>
      </c>
    </row>
    <row r="1337" spans="1:8" x14ac:dyDescent="0.35">
      <c r="A1337" s="1" t="s">
        <v>399</v>
      </c>
      <c r="B1337" s="1" t="s">
        <v>4491</v>
      </c>
      <c r="C1337" s="1" t="s">
        <v>521</v>
      </c>
      <c r="D1337" s="1" t="s">
        <v>4492</v>
      </c>
      <c r="E1337" s="1" t="s">
        <v>4140</v>
      </c>
      <c r="F1337" s="1" t="s">
        <v>524</v>
      </c>
      <c r="G1337" s="1">
        <v>38109</v>
      </c>
      <c r="H1337" s="1" t="s">
        <v>525</v>
      </c>
    </row>
    <row r="1338" spans="1:8" x14ac:dyDescent="0.35">
      <c r="A1338" s="1" t="s">
        <v>4493</v>
      </c>
      <c r="B1338" s="1" t="s">
        <v>4494</v>
      </c>
      <c r="C1338" s="1" t="s">
        <v>521</v>
      </c>
      <c r="D1338" s="1" t="s">
        <v>4495</v>
      </c>
      <c r="E1338" s="1" t="s">
        <v>4140</v>
      </c>
      <c r="F1338" s="1" t="s">
        <v>524</v>
      </c>
      <c r="G1338" s="1">
        <v>38117</v>
      </c>
      <c r="H1338" s="1" t="s">
        <v>525</v>
      </c>
    </row>
    <row r="1339" spans="1:8" x14ac:dyDescent="0.35">
      <c r="A1339" s="1" t="s">
        <v>400</v>
      </c>
      <c r="B1339" s="1" t="s">
        <v>4496</v>
      </c>
      <c r="C1339" s="1" t="s">
        <v>521</v>
      </c>
      <c r="D1339" s="1" t="s">
        <v>4497</v>
      </c>
      <c r="E1339" s="1" t="s">
        <v>4140</v>
      </c>
      <c r="F1339" s="1" t="s">
        <v>524</v>
      </c>
      <c r="G1339" s="1">
        <v>38117</v>
      </c>
      <c r="H1339" s="1" t="s">
        <v>525</v>
      </c>
    </row>
    <row r="1340" spans="1:8" x14ac:dyDescent="0.35">
      <c r="A1340" s="1" t="s">
        <v>4498</v>
      </c>
      <c r="B1340" s="1" t="s">
        <v>4499</v>
      </c>
      <c r="C1340" s="1" t="s">
        <v>521</v>
      </c>
      <c r="D1340" s="1" t="s">
        <v>4500</v>
      </c>
      <c r="E1340" s="1" t="s">
        <v>4140</v>
      </c>
      <c r="F1340" s="1" t="s">
        <v>524</v>
      </c>
      <c r="G1340" s="1">
        <v>38120</v>
      </c>
      <c r="H1340" s="1" t="s">
        <v>525</v>
      </c>
    </row>
    <row r="1341" spans="1:8" x14ac:dyDescent="0.35">
      <c r="A1341" s="1" t="s">
        <v>4501</v>
      </c>
      <c r="B1341" s="1" t="s">
        <v>4502</v>
      </c>
      <c r="C1341" s="1" t="s">
        <v>521</v>
      </c>
      <c r="D1341" s="1" t="s">
        <v>4503</v>
      </c>
      <c r="E1341" s="1" t="s">
        <v>4140</v>
      </c>
      <c r="F1341" s="1" t="s">
        <v>524</v>
      </c>
      <c r="G1341" s="1">
        <v>38116</v>
      </c>
      <c r="H1341" s="1" t="s">
        <v>525</v>
      </c>
    </row>
    <row r="1342" spans="1:8" x14ac:dyDescent="0.35">
      <c r="A1342" s="1" t="s">
        <v>401</v>
      </c>
      <c r="B1342" s="1" t="s">
        <v>4504</v>
      </c>
      <c r="C1342" s="1" t="s">
        <v>521</v>
      </c>
      <c r="D1342" s="1" t="s">
        <v>4505</v>
      </c>
      <c r="E1342" s="1" t="s">
        <v>4140</v>
      </c>
      <c r="F1342" s="1" t="s">
        <v>524</v>
      </c>
      <c r="G1342" s="1">
        <v>38116</v>
      </c>
      <c r="H1342" s="1" t="s">
        <v>525</v>
      </c>
    </row>
    <row r="1343" spans="1:8" x14ac:dyDescent="0.35">
      <c r="A1343" s="1" t="s">
        <v>4506</v>
      </c>
      <c r="B1343" s="1" t="s">
        <v>4507</v>
      </c>
      <c r="C1343" s="1" t="s">
        <v>521</v>
      </c>
      <c r="D1343" s="1" t="s">
        <v>4508</v>
      </c>
      <c r="E1343" s="1" t="s">
        <v>4140</v>
      </c>
      <c r="F1343" s="1" t="s">
        <v>524</v>
      </c>
      <c r="G1343" s="1">
        <v>38117</v>
      </c>
      <c r="H1343" s="1" t="s">
        <v>525</v>
      </c>
    </row>
    <row r="1344" spans="1:8" x14ac:dyDescent="0.35">
      <c r="A1344" s="1" t="s">
        <v>4509</v>
      </c>
      <c r="B1344" s="1" t="s">
        <v>4510</v>
      </c>
      <c r="C1344" s="1" t="s">
        <v>521</v>
      </c>
      <c r="D1344" s="1" t="s">
        <v>4511</v>
      </c>
      <c r="E1344" s="1" t="s">
        <v>4140</v>
      </c>
      <c r="F1344" s="1" t="s">
        <v>524</v>
      </c>
      <c r="G1344" s="1">
        <v>38116</v>
      </c>
      <c r="H1344" s="1" t="s">
        <v>525</v>
      </c>
    </row>
    <row r="1345" spans="1:8" x14ac:dyDescent="0.35">
      <c r="A1345" s="1" t="s">
        <v>4512</v>
      </c>
      <c r="B1345" s="1" t="s">
        <v>4513</v>
      </c>
      <c r="C1345" s="1" t="s">
        <v>521</v>
      </c>
      <c r="D1345" s="1" t="s">
        <v>4514</v>
      </c>
      <c r="E1345" s="1" t="s">
        <v>4140</v>
      </c>
      <c r="F1345" s="1" t="s">
        <v>524</v>
      </c>
      <c r="G1345" s="1">
        <v>38115</v>
      </c>
      <c r="H1345" s="1" t="s">
        <v>525</v>
      </c>
    </row>
    <row r="1346" spans="1:8" x14ac:dyDescent="0.35">
      <c r="A1346" s="1" t="s">
        <v>402</v>
      </c>
      <c r="B1346" s="1" t="s">
        <v>4515</v>
      </c>
      <c r="C1346" s="1" t="s">
        <v>521</v>
      </c>
      <c r="D1346" s="1" t="s">
        <v>4516</v>
      </c>
      <c r="E1346" s="1" t="s">
        <v>4140</v>
      </c>
      <c r="F1346" s="1" t="s">
        <v>524</v>
      </c>
      <c r="G1346" s="1">
        <v>38118</v>
      </c>
      <c r="H1346" s="1" t="s">
        <v>525</v>
      </c>
    </row>
    <row r="1347" spans="1:8" x14ac:dyDescent="0.35">
      <c r="A1347" s="1" t="s">
        <v>403</v>
      </c>
      <c r="B1347" s="1" t="s">
        <v>4517</v>
      </c>
      <c r="C1347" s="1" t="s">
        <v>521</v>
      </c>
      <c r="D1347" s="1" t="s">
        <v>4518</v>
      </c>
      <c r="E1347" s="1" t="s">
        <v>4140</v>
      </c>
      <c r="F1347" s="1" t="s">
        <v>524</v>
      </c>
      <c r="G1347" s="1">
        <v>38104</v>
      </c>
      <c r="H1347" s="1" t="s">
        <v>525</v>
      </c>
    </row>
    <row r="1348" spans="1:8" x14ac:dyDescent="0.35">
      <c r="A1348" s="1" t="s">
        <v>404</v>
      </c>
      <c r="B1348" s="1" t="s">
        <v>4519</v>
      </c>
      <c r="C1348" s="1" t="s">
        <v>521</v>
      </c>
      <c r="D1348" s="1" t="s">
        <v>4520</v>
      </c>
      <c r="E1348" s="1" t="s">
        <v>4140</v>
      </c>
      <c r="F1348" s="1" t="s">
        <v>524</v>
      </c>
      <c r="G1348" s="1">
        <v>38108</v>
      </c>
      <c r="H1348" s="1" t="s">
        <v>525</v>
      </c>
    </row>
    <row r="1349" spans="1:8" x14ac:dyDescent="0.35">
      <c r="A1349" s="1" t="s">
        <v>4521</v>
      </c>
      <c r="B1349" s="1" t="s">
        <v>4522</v>
      </c>
      <c r="C1349" s="1" t="s">
        <v>521</v>
      </c>
      <c r="D1349" s="1" t="s">
        <v>4523</v>
      </c>
      <c r="E1349" s="1" t="s">
        <v>4140</v>
      </c>
      <c r="F1349" s="1" t="s">
        <v>524</v>
      </c>
      <c r="G1349" s="1">
        <v>38127</v>
      </c>
      <c r="H1349" s="1" t="s">
        <v>525</v>
      </c>
    </row>
    <row r="1350" spans="1:8" x14ac:dyDescent="0.35">
      <c r="A1350" s="1" t="s">
        <v>4524</v>
      </c>
      <c r="B1350" s="1" t="s">
        <v>4525</v>
      </c>
      <c r="C1350" s="1" t="s">
        <v>521</v>
      </c>
      <c r="D1350" s="1" t="s">
        <v>4378</v>
      </c>
      <c r="E1350" s="1" t="s">
        <v>4140</v>
      </c>
      <c r="F1350" s="1" t="s">
        <v>524</v>
      </c>
      <c r="G1350" s="1">
        <v>38104</v>
      </c>
      <c r="H1350" s="1" t="s">
        <v>525</v>
      </c>
    </row>
    <row r="1351" spans="1:8" x14ac:dyDescent="0.35">
      <c r="A1351" s="1" t="s">
        <v>4526</v>
      </c>
      <c r="B1351" s="1" t="s">
        <v>4527</v>
      </c>
      <c r="C1351" s="1" t="s">
        <v>521</v>
      </c>
      <c r="D1351" s="1" t="s">
        <v>4528</v>
      </c>
      <c r="E1351" s="1" t="s">
        <v>4140</v>
      </c>
      <c r="F1351" s="1" t="s">
        <v>524</v>
      </c>
      <c r="G1351" s="1">
        <v>38109</v>
      </c>
      <c r="H1351" s="1" t="s">
        <v>525</v>
      </c>
    </row>
    <row r="1352" spans="1:8" x14ac:dyDescent="0.35">
      <c r="A1352" s="1" t="s">
        <v>4529</v>
      </c>
      <c r="B1352" s="1" t="s">
        <v>4530</v>
      </c>
      <c r="C1352" s="1" t="s">
        <v>1639</v>
      </c>
      <c r="D1352" s="1" t="s">
        <v>4531</v>
      </c>
      <c r="E1352" s="1" t="s">
        <v>4140</v>
      </c>
      <c r="F1352" s="1" t="s">
        <v>524</v>
      </c>
      <c r="G1352" s="1">
        <v>38106</v>
      </c>
      <c r="H1352" s="1" t="s">
        <v>1641</v>
      </c>
    </row>
    <row r="1353" spans="1:8" x14ac:dyDescent="0.35">
      <c r="A1353" s="1" t="s">
        <v>4532</v>
      </c>
      <c r="B1353" s="1" t="s">
        <v>4533</v>
      </c>
      <c r="C1353" s="1" t="s">
        <v>1639</v>
      </c>
      <c r="D1353" s="1" t="s">
        <v>4534</v>
      </c>
      <c r="E1353" s="1" t="s">
        <v>4140</v>
      </c>
      <c r="F1353" s="1" t="s">
        <v>524</v>
      </c>
      <c r="G1353" s="1">
        <v>38116</v>
      </c>
      <c r="H1353" s="1" t="s">
        <v>1641</v>
      </c>
    </row>
    <row r="1354" spans="1:8" x14ac:dyDescent="0.35">
      <c r="A1354" s="1" t="s">
        <v>405</v>
      </c>
      <c r="B1354" s="1" t="s">
        <v>4535</v>
      </c>
      <c r="C1354" s="1" t="s">
        <v>1639</v>
      </c>
      <c r="D1354" s="1" t="s">
        <v>4534</v>
      </c>
      <c r="E1354" s="1" t="s">
        <v>4140</v>
      </c>
      <c r="F1354" s="1" t="s">
        <v>524</v>
      </c>
      <c r="G1354" s="1">
        <v>38116</v>
      </c>
      <c r="H1354" s="1" t="s">
        <v>1641</v>
      </c>
    </row>
    <row r="1355" spans="1:8" x14ac:dyDescent="0.35">
      <c r="A1355" s="1" t="s">
        <v>406</v>
      </c>
      <c r="B1355" s="1" t="s">
        <v>4536</v>
      </c>
      <c r="C1355" s="1" t="s">
        <v>1639</v>
      </c>
      <c r="D1355" s="1" t="s">
        <v>4531</v>
      </c>
      <c r="E1355" s="1" t="s">
        <v>4140</v>
      </c>
      <c r="F1355" s="1" t="s">
        <v>524</v>
      </c>
      <c r="G1355" s="1">
        <v>38106</v>
      </c>
      <c r="H1355" s="1" t="s">
        <v>1641</v>
      </c>
    </row>
    <row r="1356" spans="1:8" x14ac:dyDescent="0.35">
      <c r="A1356" s="1" t="s">
        <v>4537</v>
      </c>
      <c r="B1356" s="1" t="s">
        <v>4538</v>
      </c>
      <c r="C1356" s="1" t="s">
        <v>1639</v>
      </c>
      <c r="D1356" s="1" t="s">
        <v>4539</v>
      </c>
      <c r="E1356" s="1" t="s">
        <v>4140</v>
      </c>
      <c r="F1356" s="1" t="s">
        <v>524</v>
      </c>
      <c r="G1356" s="1">
        <v>38111</v>
      </c>
      <c r="H1356" s="1" t="s">
        <v>1641</v>
      </c>
    </row>
    <row r="1357" spans="1:8" x14ac:dyDescent="0.35">
      <c r="A1357" s="1" t="s">
        <v>4540</v>
      </c>
      <c r="B1357" s="1" t="s">
        <v>4541</v>
      </c>
      <c r="C1357" s="1" t="s">
        <v>1639</v>
      </c>
      <c r="D1357" s="1" t="s">
        <v>4534</v>
      </c>
      <c r="E1357" s="1" t="s">
        <v>4140</v>
      </c>
      <c r="F1357" s="1" t="s">
        <v>524</v>
      </c>
      <c r="G1357" s="1">
        <v>38116</v>
      </c>
      <c r="H1357" s="1" t="s">
        <v>1641</v>
      </c>
    </row>
    <row r="1358" spans="1:8" x14ac:dyDescent="0.35">
      <c r="A1358" s="1" t="s">
        <v>4542</v>
      </c>
      <c r="B1358" s="1" t="s">
        <v>4543</v>
      </c>
      <c r="C1358" s="1" t="s">
        <v>1639</v>
      </c>
      <c r="D1358" s="1" t="s">
        <v>4544</v>
      </c>
      <c r="E1358" s="1" t="s">
        <v>4140</v>
      </c>
      <c r="F1358" s="1" t="s">
        <v>524</v>
      </c>
      <c r="G1358" s="1">
        <v>38103</v>
      </c>
      <c r="H1358" s="1" t="s">
        <v>1641</v>
      </c>
    </row>
    <row r="1359" spans="1:8" x14ac:dyDescent="0.35">
      <c r="A1359" s="1" t="s">
        <v>4545</v>
      </c>
      <c r="B1359" s="1" t="s">
        <v>4546</v>
      </c>
      <c r="C1359" s="1" t="s">
        <v>1639</v>
      </c>
      <c r="D1359" s="1" t="s">
        <v>4547</v>
      </c>
      <c r="E1359" s="1" t="s">
        <v>4140</v>
      </c>
      <c r="F1359" s="1" t="s">
        <v>524</v>
      </c>
      <c r="G1359" s="1">
        <v>38111</v>
      </c>
      <c r="H1359" s="1" t="s">
        <v>1641</v>
      </c>
    </row>
    <row r="1360" spans="1:8" x14ac:dyDescent="0.35">
      <c r="A1360" s="1" t="s">
        <v>4548</v>
      </c>
      <c r="B1360" s="1" t="s">
        <v>4549</v>
      </c>
      <c r="C1360" s="1" t="s">
        <v>1639</v>
      </c>
      <c r="D1360" s="1" t="s">
        <v>4550</v>
      </c>
      <c r="E1360" s="1" t="s">
        <v>4140</v>
      </c>
      <c r="F1360" s="1" t="s">
        <v>524</v>
      </c>
      <c r="G1360" s="1">
        <v>38116</v>
      </c>
      <c r="H1360" s="1" t="s">
        <v>1641</v>
      </c>
    </row>
    <row r="1361" spans="1:8" x14ac:dyDescent="0.35">
      <c r="A1361" s="1" t="s">
        <v>4551</v>
      </c>
      <c r="B1361" s="1" t="s">
        <v>4552</v>
      </c>
      <c r="C1361" s="1" t="s">
        <v>1639</v>
      </c>
      <c r="D1361" s="1" t="s">
        <v>4553</v>
      </c>
      <c r="E1361" s="1" t="s">
        <v>4140</v>
      </c>
      <c r="F1361" s="1" t="s">
        <v>524</v>
      </c>
      <c r="G1361" s="1">
        <v>38125</v>
      </c>
      <c r="H1361" s="1" t="s">
        <v>1641</v>
      </c>
    </row>
    <row r="1362" spans="1:8" x14ac:dyDescent="0.35">
      <c r="A1362" s="1" t="s">
        <v>4554</v>
      </c>
      <c r="B1362" s="1" t="s">
        <v>4555</v>
      </c>
      <c r="C1362" s="1" t="s">
        <v>1639</v>
      </c>
      <c r="D1362" s="1" t="s">
        <v>4556</v>
      </c>
      <c r="E1362" s="1" t="s">
        <v>4140</v>
      </c>
      <c r="F1362" s="1" t="s">
        <v>524</v>
      </c>
      <c r="G1362" s="1">
        <v>38127</v>
      </c>
      <c r="H1362" s="1" t="s">
        <v>1641</v>
      </c>
    </row>
    <row r="1363" spans="1:8" x14ac:dyDescent="0.35">
      <c r="A1363" s="1" t="s">
        <v>4557</v>
      </c>
      <c r="B1363" s="1" t="s">
        <v>4558</v>
      </c>
      <c r="C1363" s="1" t="s">
        <v>1639</v>
      </c>
      <c r="D1363" s="1" t="s">
        <v>4559</v>
      </c>
      <c r="E1363" s="1" t="s">
        <v>4140</v>
      </c>
      <c r="F1363" s="1" t="s">
        <v>524</v>
      </c>
      <c r="G1363" s="1">
        <v>38106</v>
      </c>
      <c r="H1363" s="1" t="s">
        <v>1641</v>
      </c>
    </row>
    <row r="1364" spans="1:8" x14ac:dyDescent="0.35">
      <c r="A1364" s="1" t="s">
        <v>4560</v>
      </c>
      <c r="B1364" s="1" t="s">
        <v>4561</v>
      </c>
      <c r="C1364" s="1" t="s">
        <v>1639</v>
      </c>
      <c r="D1364" s="1" t="s">
        <v>4562</v>
      </c>
      <c r="E1364" s="1" t="s">
        <v>4140</v>
      </c>
      <c r="F1364" s="1" t="s">
        <v>524</v>
      </c>
      <c r="G1364" s="1">
        <v>38115</v>
      </c>
      <c r="H1364" s="1" t="s">
        <v>1641</v>
      </c>
    </row>
    <row r="1365" spans="1:8" x14ac:dyDescent="0.35">
      <c r="A1365" s="1" t="s">
        <v>4563</v>
      </c>
      <c r="B1365" s="1" t="s">
        <v>4564</v>
      </c>
      <c r="C1365" s="1" t="s">
        <v>1639</v>
      </c>
      <c r="D1365" s="1" t="s">
        <v>4565</v>
      </c>
      <c r="E1365" s="1" t="s">
        <v>4140</v>
      </c>
      <c r="F1365" s="1" t="s">
        <v>524</v>
      </c>
      <c r="G1365" s="1">
        <v>38106</v>
      </c>
      <c r="H1365" s="1" t="s">
        <v>1641</v>
      </c>
    </row>
    <row r="1366" spans="1:8" x14ac:dyDescent="0.35">
      <c r="A1366" s="1" t="s">
        <v>407</v>
      </c>
      <c r="B1366" s="1" t="s">
        <v>4566</v>
      </c>
      <c r="C1366" s="1" t="s">
        <v>1639</v>
      </c>
      <c r="D1366" s="1" t="s">
        <v>4567</v>
      </c>
      <c r="E1366" s="1" t="s">
        <v>4140</v>
      </c>
      <c r="F1366" s="1" t="s">
        <v>524</v>
      </c>
      <c r="G1366" s="1">
        <v>38108</v>
      </c>
      <c r="H1366" s="1" t="s">
        <v>1641</v>
      </c>
    </row>
    <row r="1367" spans="1:8" x14ac:dyDescent="0.35">
      <c r="A1367" s="1" t="s">
        <v>408</v>
      </c>
      <c r="B1367" s="1" t="s">
        <v>4568</v>
      </c>
      <c r="C1367" s="1" t="s">
        <v>1639</v>
      </c>
      <c r="D1367" s="1" t="s">
        <v>4544</v>
      </c>
      <c r="E1367" s="1" t="s">
        <v>4140</v>
      </c>
      <c r="F1367" s="1" t="s">
        <v>524</v>
      </c>
      <c r="G1367" s="1">
        <v>38106</v>
      </c>
      <c r="H1367" s="1" t="s">
        <v>1641</v>
      </c>
    </row>
    <row r="1368" spans="1:8" x14ac:dyDescent="0.35">
      <c r="A1368" s="1" t="s">
        <v>409</v>
      </c>
      <c r="B1368" s="1" t="s">
        <v>4569</v>
      </c>
      <c r="C1368" s="1" t="s">
        <v>1639</v>
      </c>
      <c r="D1368" s="1" t="s">
        <v>4570</v>
      </c>
      <c r="E1368" s="1" t="s">
        <v>4140</v>
      </c>
      <c r="F1368" s="1" t="s">
        <v>524</v>
      </c>
      <c r="G1368" s="1">
        <v>38104</v>
      </c>
      <c r="H1368" s="1" t="s">
        <v>1641</v>
      </c>
    </row>
    <row r="1369" spans="1:8" x14ac:dyDescent="0.35">
      <c r="A1369" s="1" t="s">
        <v>410</v>
      </c>
      <c r="B1369" s="1" t="s">
        <v>4571</v>
      </c>
      <c r="C1369" s="1" t="s">
        <v>1639</v>
      </c>
      <c r="D1369" s="1" t="s">
        <v>4572</v>
      </c>
      <c r="E1369" s="1" t="s">
        <v>4140</v>
      </c>
      <c r="F1369" s="1" t="s">
        <v>524</v>
      </c>
      <c r="G1369" s="1">
        <v>38115</v>
      </c>
      <c r="H1369" s="1" t="s">
        <v>1641</v>
      </c>
    </row>
    <row r="1370" spans="1:8" x14ac:dyDescent="0.35">
      <c r="A1370" s="1" t="s">
        <v>4573</v>
      </c>
      <c r="B1370" s="1" t="s">
        <v>4574</v>
      </c>
      <c r="C1370" s="1" t="s">
        <v>1639</v>
      </c>
      <c r="D1370" s="1" t="s">
        <v>4575</v>
      </c>
      <c r="E1370" s="1" t="s">
        <v>4140</v>
      </c>
      <c r="F1370" s="1" t="s">
        <v>524</v>
      </c>
      <c r="G1370" s="1">
        <v>38127</v>
      </c>
      <c r="H1370" s="1" t="s">
        <v>1641</v>
      </c>
    </row>
    <row r="1371" spans="1:8" x14ac:dyDescent="0.35">
      <c r="A1371" s="1" t="s">
        <v>4576</v>
      </c>
      <c r="B1371" s="1" t="s">
        <v>4577</v>
      </c>
      <c r="C1371" s="1" t="s">
        <v>1639</v>
      </c>
      <c r="D1371" s="1" t="s">
        <v>4578</v>
      </c>
      <c r="E1371" s="1" t="s">
        <v>4140</v>
      </c>
      <c r="F1371" s="1" t="s">
        <v>524</v>
      </c>
      <c r="G1371" s="1">
        <v>38128</v>
      </c>
      <c r="H1371" s="1" t="s">
        <v>1641</v>
      </c>
    </row>
    <row r="1372" spans="1:8" x14ac:dyDescent="0.35">
      <c r="A1372" s="1" t="s">
        <v>411</v>
      </c>
      <c r="B1372" s="1" t="s">
        <v>4579</v>
      </c>
      <c r="C1372" s="1" t="s">
        <v>1639</v>
      </c>
      <c r="D1372" s="1" t="s">
        <v>4580</v>
      </c>
      <c r="E1372" s="1" t="s">
        <v>4140</v>
      </c>
      <c r="F1372" s="1" t="s">
        <v>524</v>
      </c>
      <c r="G1372" s="1">
        <v>38107</v>
      </c>
      <c r="H1372" s="1" t="s">
        <v>1641</v>
      </c>
    </row>
    <row r="1373" spans="1:8" x14ac:dyDescent="0.35">
      <c r="A1373" s="1" t="s">
        <v>4581</v>
      </c>
      <c r="B1373" s="1" t="s">
        <v>4582</v>
      </c>
      <c r="C1373" s="1" t="s">
        <v>1639</v>
      </c>
      <c r="D1373" s="1" t="s">
        <v>4583</v>
      </c>
      <c r="E1373" s="1" t="s">
        <v>4140</v>
      </c>
      <c r="F1373" s="1" t="s">
        <v>524</v>
      </c>
      <c r="G1373" s="1">
        <v>38134</v>
      </c>
      <c r="H1373" s="1" t="s">
        <v>1641</v>
      </c>
    </row>
    <row r="1374" spans="1:8" x14ac:dyDescent="0.35">
      <c r="A1374" s="1" t="s">
        <v>412</v>
      </c>
      <c r="B1374" s="1" t="s">
        <v>4584</v>
      </c>
      <c r="C1374" s="1" t="s">
        <v>1639</v>
      </c>
      <c r="D1374" s="1" t="s">
        <v>4583</v>
      </c>
      <c r="E1374" s="1" t="s">
        <v>4140</v>
      </c>
      <c r="F1374" s="1" t="s">
        <v>524</v>
      </c>
      <c r="G1374" s="1">
        <v>38127</v>
      </c>
      <c r="H1374" s="1" t="s">
        <v>1641</v>
      </c>
    </row>
    <row r="1375" spans="1:8" x14ac:dyDescent="0.35">
      <c r="A1375" s="1" t="s">
        <v>4585</v>
      </c>
      <c r="B1375" s="1" t="s">
        <v>4586</v>
      </c>
      <c r="C1375" s="1" t="s">
        <v>1639</v>
      </c>
      <c r="D1375" s="1" t="s">
        <v>4587</v>
      </c>
      <c r="E1375" s="1" t="s">
        <v>4140</v>
      </c>
      <c r="F1375" s="1" t="s">
        <v>524</v>
      </c>
      <c r="G1375" s="1">
        <v>38115</v>
      </c>
      <c r="H1375" s="1" t="s">
        <v>1641</v>
      </c>
    </row>
    <row r="1376" spans="1:8" x14ac:dyDescent="0.35">
      <c r="A1376" s="1" t="s">
        <v>4588</v>
      </c>
      <c r="B1376" s="1" t="s">
        <v>4589</v>
      </c>
      <c r="C1376" s="1" t="s">
        <v>1639</v>
      </c>
      <c r="D1376" s="1" t="s">
        <v>4590</v>
      </c>
      <c r="E1376" s="1" t="s">
        <v>4140</v>
      </c>
      <c r="F1376" s="1" t="s">
        <v>524</v>
      </c>
      <c r="G1376" s="1">
        <v>38108</v>
      </c>
      <c r="H1376" s="1" t="s">
        <v>1641</v>
      </c>
    </row>
    <row r="1377" spans="1:8" x14ac:dyDescent="0.35">
      <c r="A1377" s="1" t="s">
        <v>4591</v>
      </c>
      <c r="B1377" s="1" t="s">
        <v>4592</v>
      </c>
      <c r="C1377" s="1" t="s">
        <v>1639</v>
      </c>
      <c r="D1377" s="1" t="s">
        <v>4593</v>
      </c>
      <c r="E1377" s="1" t="s">
        <v>4140</v>
      </c>
      <c r="F1377" s="1" t="s">
        <v>524</v>
      </c>
      <c r="G1377" s="1">
        <v>38132</v>
      </c>
      <c r="H1377" s="1" t="s">
        <v>1641</v>
      </c>
    </row>
    <row r="1378" spans="1:8" x14ac:dyDescent="0.35">
      <c r="A1378" s="1" t="s">
        <v>4594</v>
      </c>
      <c r="B1378" s="1" t="s">
        <v>4595</v>
      </c>
      <c r="C1378" s="1" t="s">
        <v>1639</v>
      </c>
      <c r="D1378" s="1" t="s">
        <v>4596</v>
      </c>
      <c r="E1378" s="1" t="s">
        <v>4140</v>
      </c>
      <c r="F1378" s="1" t="s">
        <v>524</v>
      </c>
      <c r="G1378" s="1">
        <v>38108</v>
      </c>
      <c r="H1378" s="1" t="s">
        <v>1641</v>
      </c>
    </row>
    <row r="1379" spans="1:8" x14ac:dyDescent="0.35">
      <c r="A1379" s="1" t="s">
        <v>413</v>
      </c>
      <c r="B1379" s="1" t="s">
        <v>4597</v>
      </c>
      <c r="C1379" s="1" t="s">
        <v>1639</v>
      </c>
      <c r="D1379" s="1" t="s">
        <v>4598</v>
      </c>
      <c r="E1379" s="1" t="s">
        <v>4140</v>
      </c>
      <c r="F1379" s="1" t="s">
        <v>524</v>
      </c>
      <c r="G1379" s="1">
        <v>38106</v>
      </c>
      <c r="H1379" s="1" t="s">
        <v>1641</v>
      </c>
    </row>
    <row r="1380" spans="1:8" x14ac:dyDescent="0.35">
      <c r="A1380" s="1" t="s">
        <v>414</v>
      </c>
      <c r="B1380" s="1" t="s">
        <v>4599</v>
      </c>
      <c r="C1380" s="1" t="s">
        <v>1639</v>
      </c>
      <c r="D1380" s="1" t="s">
        <v>4600</v>
      </c>
      <c r="E1380" s="1" t="s">
        <v>4140</v>
      </c>
      <c r="F1380" s="1" t="s">
        <v>524</v>
      </c>
      <c r="G1380" s="1">
        <v>38109</v>
      </c>
      <c r="H1380" s="1" t="s">
        <v>1641</v>
      </c>
    </row>
    <row r="1381" spans="1:8" x14ac:dyDescent="0.35">
      <c r="A1381" s="1" t="s">
        <v>4601</v>
      </c>
      <c r="B1381" s="1" t="s">
        <v>4602</v>
      </c>
      <c r="C1381" s="1" t="s">
        <v>1639</v>
      </c>
      <c r="D1381" s="1" t="s">
        <v>4544</v>
      </c>
      <c r="E1381" s="1" t="s">
        <v>4140</v>
      </c>
      <c r="F1381" s="1" t="s">
        <v>524</v>
      </c>
      <c r="G1381" s="1">
        <v>38106</v>
      </c>
      <c r="H1381" s="1" t="s">
        <v>1641</v>
      </c>
    </row>
    <row r="1382" spans="1:8" x14ac:dyDescent="0.35">
      <c r="A1382" s="1" t="s">
        <v>4603</v>
      </c>
      <c r="B1382" s="1" t="s">
        <v>4604</v>
      </c>
      <c r="C1382" s="1" t="s">
        <v>1639</v>
      </c>
      <c r="D1382" s="1" t="s">
        <v>4605</v>
      </c>
      <c r="E1382" s="1" t="s">
        <v>4140</v>
      </c>
      <c r="F1382" s="1" t="s">
        <v>524</v>
      </c>
      <c r="G1382" s="1">
        <v>38108</v>
      </c>
      <c r="H1382" s="1" t="s">
        <v>1641</v>
      </c>
    </row>
    <row r="1383" spans="1:8" x14ac:dyDescent="0.35">
      <c r="A1383" s="1" t="s">
        <v>4606</v>
      </c>
      <c r="B1383" s="1" t="s">
        <v>4607</v>
      </c>
      <c r="C1383" s="1" t="s">
        <v>1639</v>
      </c>
      <c r="D1383" s="1" t="s">
        <v>4608</v>
      </c>
      <c r="E1383" s="1" t="s">
        <v>4140</v>
      </c>
      <c r="F1383" s="1" t="s">
        <v>524</v>
      </c>
      <c r="G1383" s="1">
        <v>38106</v>
      </c>
      <c r="H1383" s="1" t="s">
        <v>1641</v>
      </c>
    </row>
    <row r="1384" spans="1:8" x14ac:dyDescent="0.35">
      <c r="A1384" s="1" t="s">
        <v>415</v>
      </c>
      <c r="B1384" s="1" t="s">
        <v>4609</v>
      </c>
      <c r="C1384" s="1" t="s">
        <v>1639</v>
      </c>
      <c r="D1384" s="1" t="s">
        <v>4610</v>
      </c>
      <c r="E1384" s="1" t="s">
        <v>4140</v>
      </c>
      <c r="F1384" s="1" t="s">
        <v>524</v>
      </c>
      <c r="G1384" s="1">
        <v>38118</v>
      </c>
      <c r="H1384" s="1" t="s">
        <v>1641</v>
      </c>
    </row>
    <row r="1385" spans="1:8" x14ac:dyDescent="0.35">
      <c r="A1385" s="1" t="s">
        <v>4611</v>
      </c>
      <c r="B1385" s="1" t="s">
        <v>4612</v>
      </c>
      <c r="C1385" s="1" t="s">
        <v>1639</v>
      </c>
      <c r="D1385" s="1" t="s">
        <v>4608</v>
      </c>
      <c r="E1385" s="1" t="s">
        <v>4140</v>
      </c>
      <c r="F1385" s="1" t="s">
        <v>524</v>
      </c>
      <c r="G1385" s="1">
        <v>38106</v>
      </c>
      <c r="H1385" s="1" t="s">
        <v>1641</v>
      </c>
    </row>
    <row r="1386" spans="1:8" x14ac:dyDescent="0.35">
      <c r="A1386" s="1" t="s">
        <v>4613</v>
      </c>
      <c r="B1386" s="1" t="s">
        <v>4614</v>
      </c>
      <c r="C1386" s="1" t="s">
        <v>1639</v>
      </c>
      <c r="D1386" s="1" t="s">
        <v>4615</v>
      </c>
      <c r="E1386" s="1" t="s">
        <v>4140</v>
      </c>
      <c r="F1386" s="1" t="s">
        <v>524</v>
      </c>
      <c r="G1386" s="1">
        <v>38122</v>
      </c>
      <c r="H1386" s="1" t="s">
        <v>1641</v>
      </c>
    </row>
    <row r="1387" spans="1:8" x14ac:dyDescent="0.35">
      <c r="A1387" s="1" t="s">
        <v>4616</v>
      </c>
      <c r="B1387" s="1" t="s">
        <v>4617</v>
      </c>
      <c r="C1387" s="1" t="s">
        <v>1639</v>
      </c>
      <c r="D1387" s="1" t="s">
        <v>4605</v>
      </c>
      <c r="E1387" s="1" t="s">
        <v>4140</v>
      </c>
      <c r="F1387" s="1" t="s">
        <v>524</v>
      </c>
      <c r="G1387" s="1">
        <v>38108</v>
      </c>
      <c r="H1387" s="1" t="s">
        <v>1641</v>
      </c>
    </row>
    <row r="1388" spans="1:8" x14ac:dyDescent="0.35">
      <c r="A1388" s="1" t="s">
        <v>4618</v>
      </c>
      <c r="B1388" s="1" t="s">
        <v>4619</v>
      </c>
      <c r="C1388" s="1" t="s">
        <v>1639</v>
      </c>
      <c r="D1388" s="1" t="s">
        <v>4620</v>
      </c>
      <c r="E1388" s="1" t="s">
        <v>4140</v>
      </c>
      <c r="F1388" s="1" t="s">
        <v>524</v>
      </c>
      <c r="G1388" s="1">
        <v>38103</v>
      </c>
      <c r="H1388" s="1" t="s">
        <v>1641</v>
      </c>
    </row>
    <row r="1389" spans="1:8" x14ac:dyDescent="0.35">
      <c r="A1389" s="1" t="s">
        <v>4621</v>
      </c>
      <c r="B1389" s="1" t="s">
        <v>4622</v>
      </c>
      <c r="C1389" s="1" t="s">
        <v>1639</v>
      </c>
      <c r="D1389" s="1" t="s">
        <v>4623</v>
      </c>
      <c r="E1389" s="1" t="s">
        <v>4140</v>
      </c>
      <c r="F1389" s="1" t="s">
        <v>524</v>
      </c>
      <c r="G1389" s="1">
        <v>38107</v>
      </c>
      <c r="H1389" s="1" t="s">
        <v>1641</v>
      </c>
    </row>
    <row r="1390" spans="1:8" x14ac:dyDescent="0.35">
      <c r="A1390" s="1" t="s">
        <v>4624</v>
      </c>
      <c r="B1390" s="1" t="s">
        <v>4625</v>
      </c>
      <c r="C1390" s="1" t="s">
        <v>1639</v>
      </c>
      <c r="D1390" s="1" t="s">
        <v>4626</v>
      </c>
      <c r="E1390" s="1" t="s">
        <v>4140</v>
      </c>
      <c r="F1390" s="1" t="s">
        <v>524</v>
      </c>
      <c r="G1390" s="1">
        <v>38134</v>
      </c>
      <c r="H1390" s="1" t="s">
        <v>1641</v>
      </c>
    </row>
    <row r="1391" spans="1:8" x14ac:dyDescent="0.35">
      <c r="A1391" s="1" t="s">
        <v>4627</v>
      </c>
      <c r="B1391" s="1" t="s">
        <v>4628</v>
      </c>
      <c r="C1391" s="1" t="s">
        <v>1639</v>
      </c>
      <c r="D1391" s="1" t="s">
        <v>4629</v>
      </c>
      <c r="E1391" s="1" t="s">
        <v>4140</v>
      </c>
      <c r="F1391" s="1" t="s">
        <v>524</v>
      </c>
      <c r="G1391" s="1">
        <v>38116</v>
      </c>
      <c r="H1391" s="1" t="s">
        <v>1641</v>
      </c>
    </row>
    <row r="1392" spans="1:8" x14ac:dyDescent="0.35">
      <c r="A1392" s="1" t="s">
        <v>4630</v>
      </c>
      <c r="B1392" s="1" t="s">
        <v>4631</v>
      </c>
      <c r="C1392" s="1" t="s">
        <v>1639</v>
      </c>
      <c r="D1392" s="1" t="s">
        <v>4632</v>
      </c>
      <c r="E1392" s="1" t="s">
        <v>4140</v>
      </c>
      <c r="F1392" s="1" t="s">
        <v>524</v>
      </c>
      <c r="G1392" s="1">
        <v>38109</v>
      </c>
      <c r="H1392" s="1" t="s">
        <v>1641</v>
      </c>
    </row>
    <row r="1393" spans="1:8" x14ac:dyDescent="0.35">
      <c r="A1393" s="1" t="s">
        <v>4633</v>
      </c>
      <c r="B1393" s="1" t="s">
        <v>4634</v>
      </c>
      <c r="C1393" s="1" t="s">
        <v>1639</v>
      </c>
      <c r="D1393" s="1" t="s">
        <v>4587</v>
      </c>
      <c r="E1393" s="1" t="s">
        <v>4140</v>
      </c>
      <c r="F1393" s="1" t="s">
        <v>524</v>
      </c>
      <c r="G1393" s="1">
        <v>38115</v>
      </c>
      <c r="H1393" s="1" t="s">
        <v>1641</v>
      </c>
    </row>
    <row r="1394" spans="1:8" x14ac:dyDescent="0.35">
      <c r="A1394" s="1" t="s">
        <v>416</v>
      </c>
      <c r="B1394" s="1" t="s">
        <v>4635</v>
      </c>
      <c r="C1394" s="1" t="s">
        <v>1639</v>
      </c>
      <c r="D1394" s="1" t="s">
        <v>4636</v>
      </c>
      <c r="E1394" s="1" t="s">
        <v>4140</v>
      </c>
      <c r="F1394" s="1" t="s">
        <v>524</v>
      </c>
      <c r="G1394" s="1">
        <v>38106</v>
      </c>
      <c r="H1394" s="1" t="s">
        <v>1641</v>
      </c>
    </row>
    <row r="1395" spans="1:8" x14ac:dyDescent="0.35">
      <c r="A1395" s="1" t="s">
        <v>4637</v>
      </c>
      <c r="B1395" s="1" t="s">
        <v>4638</v>
      </c>
      <c r="C1395" s="1" t="s">
        <v>1639</v>
      </c>
      <c r="D1395" s="1" t="s">
        <v>4639</v>
      </c>
      <c r="E1395" s="1" t="s">
        <v>4140</v>
      </c>
      <c r="F1395" s="1" t="s">
        <v>524</v>
      </c>
      <c r="G1395" s="1">
        <v>38128</v>
      </c>
      <c r="H1395" s="1" t="s">
        <v>1641</v>
      </c>
    </row>
    <row r="1396" spans="1:8" x14ac:dyDescent="0.35">
      <c r="A1396" s="1" t="s">
        <v>4640</v>
      </c>
      <c r="B1396" s="1" t="s">
        <v>4641</v>
      </c>
      <c r="C1396" s="1" t="s">
        <v>1639</v>
      </c>
      <c r="D1396" s="1" t="s">
        <v>4642</v>
      </c>
      <c r="E1396" s="1" t="s">
        <v>4140</v>
      </c>
      <c r="F1396" s="1" t="s">
        <v>524</v>
      </c>
      <c r="G1396" s="1">
        <v>38111</v>
      </c>
      <c r="H1396" s="1" t="s">
        <v>1641</v>
      </c>
    </row>
    <row r="1397" spans="1:8" x14ac:dyDescent="0.35">
      <c r="A1397" s="1" t="s">
        <v>4643</v>
      </c>
      <c r="B1397" s="1" t="s">
        <v>4644</v>
      </c>
      <c r="C1397" s="1" t="s">
        <v>1639</v>
      </c>
      <c r="D1397" s="1" t="s">
        <v>4645</v>
      </c>
      <c r="E1397" s="1" t="s">
        <v>420</v>
      </c>
      <c r="F1397" s="1" t="s">
        <v>524</v>
      </c>
      <c r="G1397" s="1">
        <v>38134</v>
      </c>
      <c r="H1397" s="1" t="s">
        <v>1641</v>
      </c>
    </row>
    <row r="1398" spans="1:8" x14ac:dyDescent="0.35">
      <c r="A1398" s="1" t="s">
        <v>4646</v>
      </c>
      <c r="B1398" s="1" t="s">
        <v>4647</v>
      </c>
      <c r="C1398" s="1" t="s">
        <v>1639</v>
      </c>
      <c r="D1398" s="1" t="s">
        <v>4648</v>
      </c>
      <c r="E1398" s="1" t="s">
        <v>4140</v>
      </c>
      <c r="F1398" s="1" t="s">
        <v>524</v>
      </c>
      <c r="G1398" s="1">
        <v>38103</v>
      </c>
      <c r="H1398" s="1" t="s">
        <v>1641</v>
      </c>
    </row>
    <row r="1399" spans="1:8" x14ac:dyDescent="0.35">
      <c r="A1399" s="1" t="s">
        <v>4649</v>
      </c>
      <c r="B1399" s="1" t="s">
        <v>4650</v>
      </c>
      <c r="C1399" s="1" t="s">
        <v>1639</v>
      </c>
      <c r="D1399" s="1" t="s">
        <v>4651</v>
      </c>
      <c r="E1399" s="1" t="s">
        <v>4140</v>
      </c>
      <c r="F1399" s="1" t="s">
        <v>524</v>
      </c>
      <c r="G1399" s="1">
        <v>38134</v>
      </c>
      <c r="H1399" s="1" t="s">
        <v>1641</v>
      </c>
    </row>
    <row r="1400" spans="1:8" x14ac:dyDescent="0.35">
      <c r="A1400" s="1" t="s">
        <v>4652</v>
      </c>
      <c r="B1400" s="1" t="s">
        <v>4653</v>
      </c>
      <c r="C1400" s="1" t="s">
        <v>1639</v>
      </c>
      <c r="D1400" s="1" t="s">
        <v>4654</v>
      </c>
      <c r="E1400" s="1" t="s">
        <v>4140</v>
      </c>
      <c r="F1400" s="1" t="s">
        <v>524</v>
      </c>
      <c r="G1400" s="1">
        <v>38141</v>
      </c>
      <c r="H1400" s="1" t="s">
        <v>1641</v>
      </c>
    </row>
    <row r="1401" spans="1:8" x14ac:dyDescent="0.35">
      <c r="A1401" s="1" t="s">
        <v>4655</v>
      </c>
      <c r="B1401" s="1" t="s">
        <v>4656</v>
      </c>
      <c r="C1401" s="1" t="s">
        <v>1639</v>
      </c>
      <c r="D1401" s="1" t="s">
        <v>4657</v>
      </c>
      <c r="E1401" s="1" t="s">
        <v>4140</v>
      </c>
      <c r="F1401" s="1" t="s">
        <v>524</v>
      </c>
      <c r="G1401" s="1">
        <v>38125</v>
      </c>
      <c r="H1401" s="1" t="s">
        <v>1641</v>
      </c>
    </row>
    <row r="1402" spans="1:8" x14ac:dyDescent="0.35">
      <c r="A1402" s="1" t="s">
        <v>4658</v>
      </c>
      <c r="B1402" s="1" t="s">
        <v>4659</v>
      </c>
      <c r="C1402" s="1" t="s">
        <v>1639</v>
      </c>
      <c r="D1402" s="1" t="s">
        <v>4660</v>
      </c>
      <c r="E1402" s="1" t="s">
        <v>4140</v>
      </c>
      <c r="F1402" s="1" t="s">
        <v>524</v>
      </c>
      <c r="G1402" s="1">
        <v>38103</v>
      </c>
      <c r="H1402" s="1" t="s">
        <v>1641</v>
      </c>
    </row>
    <row r="1403" spans="1:8" x14ac:dyDescent="0.35">
      <c r="A1403" s="1" t="s">
        <v>417</v>
      </c>
      <c r="B1403" s="1" t="s">
        <v>4661</v>
      </c>
      <c r="C1403" s="1" t="s">
        <v>521</v>
      </c>
      <c r="D1403" s="1" t="s">
        <v>4662</v>
      </c>
      <c r="E1403" s="1" t="s">
        <v>418</v>
      </c>
      <c r="F1403" s="1" t="s">
        <v>524</v>
      </c>
      <c r="G1403" s="1">
        <v>38002</v>
      </c>
      <c r="H1403" s="1" t="s">
        <v>525</v>
      </c>
    </row>
    <row r="1404" spans="1:8" x14ac:dyDescent="0.35">
      <c r="A1404" s="1" t="s">
        <v>4663</v>
      </c>
      <c r="B1404" s="1" t="s">
        <v>4664</v>
      </c>
      <c r="C1404" s="1" t="s">
        <v>521</v>
      </c>
      <c r="D1404" s="1" t="s">
        <v>4665</v>
      </c>
      <c r="E1404" s="1" t="s">
        <v>418</v>
      </c>
      <c r="F1404" s="1" t="s">
        <v>524</v>
      </c>
      <c r="G1404" s="1">
        <v>38002</v>
      </c>
      <c r="H1404" s="1" t="s">
        <v>525</v>
      </c>
    </row>
    <row r="1405" spans="1:8" x14ac:dyDescent="0.35">
      <c r="A1405" s="1" t="s">
        <v>4666</v>
      </c>
      <c r="B1405" s="1" t="s">
        <v>4667</v>
      </c>
      <c r="C1405" s="1" t="s">
        <v>521</v>
      </c>
      <c r="D1405" s="1" t="s">
        <v>4668</v>
      </c>
      <c r="E1405" s="1" t="s">
        <v>418</v>
      </c>
      <c r="F1405" s="1" t="s">
        <v>524</v>
      </c>
      <c r="G1405" s="1">
        <v>38002</v>
      </c>
      <c r="H1405" s="1" t="s">
        <v>525</v>
      </c>
    </row>
    <row r="1406" spans="1:8" x14ac:dyDescent="0.35">
      <c r="A1406" s="1" t="s">
        <v>4669</v>
      </c>
      <c r="B1406" s="1" t="s">
        <v>4670</v>
      </c>
      <c r="C1406" s="1" t="s">
        <v>521</v>
      </c>
      <c r="D1406" s="1" t="s">
        <v>4671</v>
      </c>
      <c r="E1406" s="1" t="s">
        <v>418</v>
      </c>
      <c r="F1406" s="1" t="s">
        <v>524</v>
      </c>
      <c r="G1406" s="1">
        <v>38002</v>
      </c>
      <c r="H1406" s="1" t="s">
        <v>525</v>
      </c>
    </row>
    <row r="1407" spans="1:8" x14ac:dyDescent="0.35">
      <c r="A1407" s="1" t="s">
        <v>4672</v>
      </c>
      <c r="B1407" s="1" t="s">
        <v>4673</v>
      </c>
      <c r="C1407" s="1" t="s">
        <v>521</v>
      </c>
      <c r="D1407" s="1" t="s">
        <v>4674</v>
      </c>
      <c r="E1407" s="1" t="s">
        <v>420</v>
      </c>
      <c r="F1407" s="1" t="s">
        <v>524</v>
      </c>
      <c r="G1407" s="1">
        <v>38134</v>
      </c>
      <c r="H1407" s="1" t="s">
        <v>525</v>
      </c>
    </row>
    <row r="1408" spans="1:8" x14ac:dyDescent="0.35">
      <c r="A1408" s="1" t="s">
        <v>4675</v>
      </c>
      <c r="B1408" s="1" t="s">
        <v>4676</v>
      </c>
      <c r="C1408" s="1" t="s">
        <v>521</v>
      </c>
      <c r="D1408" s="1" t="s">
        <v>4677</v>
      </c>
      <c r="E1408" s="1" t="s">
        <v>420</v>
      </c>
      <c r="F1408" s="1" t="s">
        <v>524</v>
      </c>
      <c r="G1408" s="1">
        <v>38133</v>
      </c>
      <c r="H1408" s="1" t="s">
        <v>525</v>
      </c>
    </row>
    <row r="1409" spans="1:8" x14ac:dyDescent="0.35">
      <c r="A1409" s="1" t="s">
        <v>4678</v>
      </c>
      <c r="B1409" s="1" t="s">
        <v>4679</v>
      </c>
      <c r="C1409" s="1" t="s">
        <v>521</v>
      </c>
      <c r="D1409" s="1" t="s">
        <v>4680</v>
      </c>
      <c r="E1409" s="1" t="s">
        <v>420</v>
      </c>
      <c r="F1409" s="1" t="s">
        <v>524</v>
      </c>
      <c r="G1409" s="1">
        <v>38135</v>
      </c>
      <c r="H1409" s="1" t="s">
        <v>525</v>
      </c>
    </row>
    <row r="1410" spans="1:8" x14ac:dyDescent="0.35">
      <c r="A1410" s="1" t="s">
        <v>419</v>
      </c>
      <c r="B1410" s="1" t="s">
        <v>4681</v>
      </c>
      <c r="C1410" s="1" t="s">
        <v>521</v>
      </c>
      <c r="D1410" s="1" t="s">
        <v>4682</v>
      </c>
      <c r="E1410" s="1" t="s">
        <v>420</v>
      </c>
      <c r="F1410" s="1" t="s">
        <v>524</v>
      </c>
      <c r="G1410" s="1">
        <v>38134</v>
      </c>
      <c r="H1410" s="1" t="s">
        <v>525</v>
      </c>
    </row>
    <row r="1411" spans="1:8" x14ac:dyDescent="0.35">
      <c r="A1411" s="1" t="s">
        <v>4683</v>
      </c>
      <c r="B1411" s="1" t="s">
        <v>4684</v>
      </c>
      <c r="C1411" s="1" t="s">
        <v>521</v>
      </c>
      <c r="D1411" s="1" t="s">
        <v>4685</v>
      </c>
      <c r="E1411" s="1" t="s">
        <v>420</v>
      </c>
      <c r="F1411" s="1" t="s">
        <v>524</v>
      </c>
      <c r="G1411" s="1">
        <v>38134</v>
      </c>
      <c r="H1411" s="1" t="s">
        <v>525</v>
      </c>
    </row>
    <row r="1412" spans="1:8" x14ac:dyDescent="0.35">
      <c r="A1412" s="1" t="s">
        <v>4686</v>
      </c>
      <c r="B1412" s="1" t="s">
        <v>4687</v>
      </c>
      <c r="C1412" s="1" t="s">
        <v>521</v>
      </c>
      <c r="D1412" s="1" t="s">
        <v>4688</v>
      </c>
      <c r="E1412" s="1" t="s">
        <v>420</v>
      </c>
      <c r="F1412" s="1" t="s">
        <v>524</v>
      </c>
      <c r="G1412" s="1">
        <v>38133</v>
      </c>
      <c r="H1412" s="1" t="s">
        <v>525</v>
      </c>
    </row>
    <row r="1413" spans="1:8" x14ac:dyDescent="0.35">
      <c r="A1413" s="1" t="s">
        <v>4689</v>
      </c>
      <c r="B1413" s="1" t="s">
        <v>4690</v>
      </c>
      <c r="C1413" s="1" t="s">
        <v>521</v>
      </c>
      <c r="D1413" s="1" t="s">
        <v>4691</v>
      </c>
      <c r="E1413" s="1" t="s">
        <v>420</v>
      </c>
      <c r="F1413" s="1" t="s">
        <v>524</v>
      </c>
      <c r="G1413" s="1">
        <v>38135</v>
      </c>
      <c r="H1413" s="1" t="s">
        <v>525</v>
      </c>
    </row>
    <row r="1414" spans="1:8" x14ac:dyDescent="0.35">
      <c r="A1414" s="1" t="s">
        <v>4692</v>
      </c>
      <c r="B1414" s="1" t="s">
        <v>4693</v>
      </c>
      <c r="C1414" s="1" t="s">
        <v>521</v>
      </c>
      <c r="D1414" s="1" t="s">
        <v>4694</v>
      </c>
      <c r="E1414" s="1" t="s">
        <v>420</v>
      </c>
      <c r="F1414" s="1" t="s">
        <v>524</v>
      </c>
      <c r="G1414" s="1">
        <v>38134</v>
      </c>
      <c r="H1414" s="1" t="s">
        <v>525</v>
      </c>
    </row>
    <row r="1415" spans="1:8" x14ac:dyDescent="0.35">
      <c r="A1415" s="1" t="s">
        <v>4695</v>
      </c>
      <c r="B1415" s="1" t="s">
        <v>4696</v>
      </c>
      <c r="C1415" s="1" t="s">
        <v>521</v>
      </c>
      <c r="D1415" s="1" t="s">
        <v>4697</v>
      </c>
      <c r="E1415" s="1" t="s">
        <v>420</v>
      </c>
      <c r="F1415" s="1" t="s">
        <v>524</v>
      </c>
      <c r="G1415" s="1">
        <v>38134</v>
      </c>
      <c r="H1415" s="1" t="s">
        <v>525</v>
      </c>
    </row>
    <row r="1416" spans="1:8" x14ac:dyDescent="0.35">
      <c r="A1416" s="1" t="s">
        <v>4698</v>
      </c>
      <c r="B1416" s="1" t="s">
        <v>4699</v>
      </c>
      <c r="C1416" s="1" t="s">
        <v>521</v>
      </c>
      <c r="D1416" s="1" t="s">
        <v>4700</v>
      </c>
      <c r="E1416" s="1" t="s">
        <v>420</v>
      </c>
      <c r="F1416" s="1" t="s">
        <v>524</v>
      </c>
      <c r="G1416" s="1">
        <v>38135</v>
      </c>
      <c r="H1416" s="1" t="s">
        <v>525</v>
      </c>
    </row>
    <row r="1417" spans="1:8" x14ac:dyDescent="0.35">
      <c r="A1417" s="1" t="s">
        <v>4701</v>
      </c>
      <c r="B1417" s="1" t="s">
        <v>4702</v>
      </c>
      <c r="C1417" s="1" t="s">
        <v>521</v>
      </c>
      <c r="D1417" s="1" t="s">
        <v>4703</v>
      </c>
      <c r="E1417" s="1" t="s">
        <v>422</v>
      </c>
      <c r="F1417" s="1" t="s">
        <v>524</v>
      </c>
      <c r="G1417" s="1">
        <v>38017</v>
      </c>
      <c r="H1417" s="1" t="s">
        <v>525</v>
      </c>
    </row>
    <row r="1418" spans="1:8" x14ac:dyDescent="0.35">
      <c r="A1418" s="1" t="s">
        <v>4704</v>
      </c>
      <c r="B1418" s="1" t="s">
        <v>4705</v>
      </c>
      <c r="C1418" s="1" t="s">
        <v>521</v>
      </c>
      <c r="D1418" s="1" t="s">
        <v>4706</v>
      </c>
      <c r="E1418" s="1" t="s">
        <v>422</v>
      </c>
      <c r="F1418" s="1" t="s">
        <v>524</v>
      </c>
      <c r="G1418" s="1">
        <v>38017</v>
      </c>
      <c r="H1418" s="1" t="s">
        <v>525</v>
      </c>
    </row>
    <row r="1419" spans="1:8" x14ac:dyDescent="0.35">
      <c r="A1419" s="1" t="s">
        <v>421</v>
      </c>
      <c r="B1419" s="1" t="s">
        <v>4707</v>
      </c>
      <c r="C1419" s="1" t="s">
        <v>521</v>
      </c>
      <c r="D1419" s="1" t="s">
        <v>4708</v>
      </c>
      <c r="E1419" s="1" t="s">
        <v>422</v>
      </c>
      <c r="F1419" s="1" t="s">
        <v>524</v>
      </c>
      <c r="G1419" s="1">
        <v>38017</v>
      </c>
      <c r="H1419" s="1" t="s">
        <v>525</v>
      </c>
    </row>
    <row r="1420" spans="1:8" x14ac:dyDescent="0.35">
      <c r="A1420" s="1" t="s">
        <v>4709</v>
      </c>
      <c r="B1420" s="1" t="s">
        <v>4710</v>
      </c>
      <c r="C1420" s="1" t="s">
        <v>521</v>
      </c>
      <c r="D1420" s="1" t="s">
        <v>4711</v>
      </c>
      <c r="E1420" s="1" t="s">
        <v>422</v>
      </c>
      <c r="F1420" s="1" t="s">
        <v>524</v>
      </c>
      <c r="G1420" s="1">
        <v>38017</v>
      </c>
      <c r="H1420" s="1" t="s">
        <v>525</v>
      </c>
    </row>
    <row r="1421" spans="1:8" x14ac:dyDescent="0.35">
      <c r="A1421" s="1" t="s">
        <v>4712</v>
      </c>
      <c r="B1421" s="1" t="s">
        <v>4713</v>
      </c>
      <c r="C1421" s="1" t="s">
        <v>521</v>
      </c>
      <c r="D1421" s="1" t="s">
        <v>4714</v>
      </c>
      <c r="E1421" s="1" t="s">
        <v>422</v>
      </c>
      <c r="F1421" s="1" t="s">
        <v>524</v>
      </c>
      <c r="G1421" s="1">
        <v>38017</v>
      </c>
      <c r="H1421" s="1" t="s">
        <v>525</v>
      </c>
    </row>
    <row r="1422" spans="1:8" x14ac:dyDescent="0.35">
      <c r="A1422" s="1" t="s">
        <v>4715</v>
      </c>
      <c r="B1422" s="1" t="s">
        <v>4716</v>
      </c>
      <c r="C1422" s="1" t="s">
        <v>521</v>
      </c>
      <c r="D1422" s="1" t="s">
        <v>4717</v>
      </c>
      <c r="E1422" s="1" t="s">
        <v>422</v>
      </c>
      <c r="F1422" s="1" t="s">
        <v>524</v>
      </c>
      <c r="G1422" s="1">
        <v>38017</v>
      </c>
      <c r="H1422" s="1" t="s">
        <v>525</v>
      </c>
    </row>
    <row r="1423" spans="1:8" x14ac:dyDescent="0.35">
      <c r="A1423" s="1" t="s">
        <v>4718</v>
      </c>
      <c r="B1423" s="1" t="s">
        <v>4719</v>
      </c>
      <c r="C1423" s="1" t="s">
        <v>521</v>
      </c>
      <c r="D1423" s="1" t="s">
        <v>4720</v>
      </c>
      <c r="E1423" s="1" t="s">
        <v>422</v>
      </c>
      <c r="F1423" s="1" t="s">
        <v>524</v>
      </c>
      <c r="G1423" s="1">
        <v>38017</v>
      </c>
      <c r="H1423" s="1" t="s">
        <v>525</v>
      </c>
    </row>
    <row r="1424" spans="1:8" x14ac:dyDescent="0.35">
      <c r="A1424" s="1" t="s">
        <v>4721</v>
      </c>
      <c r="B1424" s="1" t="s">
        <v>4722</v>
      </c>
      <c r="C1424" s="1" t="s">
        <v>521</v>
      </c>
      <c r="D1424" s="1" t="s">
        <v>4723</v>
      </c>
      <c r="E1424" s="1" t="s">
        <v>422</v>
      </c>
      <c r="F1424" s="1" t="s">
        <v>524</v>
      </c>
      <c r="G1424" s="1">
        <v>38017</v>
      </c>
      <c r="H1424" s="1" t="s">
        <v>525</v>
      </c>
    </row>
    <row r="1425" spans="1:8" x14ac:dyDescent="0.35">
      <c r="A1425" s="1" t="s">
        <v>4724</v>
      </c>
      <c r="B1425" s="1" t="s">
        <v>4725</v>
      </c>
      <c r="C1425" s="1" t="s">
        <v>521</v>
      </c>
      <c r="D1425" s="1" t="s">
        <v>4726</v>
      </c>
      <c r="E1425" s="1" t="s">
        <v>424</v>
      </c>
      <c r="F1425" s="1" t="s">
        <v>524</v>
      </c>
      <c r="G1425" s="1">
        <v>38139</v>
      </c>
      <c r="H1425" s="1" t="s">
        <v>525</v>
      </c>
    </row>
    <row r="1426" spans="1:8" x14ac:dyDescent="0.35">
      <c r="A1426" s="1" t="s">
        <v>4727</v>
      </c>
      <c r="B1426" s="1" t="s">
        <v>4728</v>
      </c>
      <c r="C1426" s="1" t="s">
        <v>521</v>
      </c>
      <c r="D1426" s="1" t="s">
        <v>4729</v>
      </c>
      <c r="E1426" s="1" t="s">
        <v>424</v>
      </c>
      <c r="F1426" s="1" t="s">
        <v>524</v>
      </c>
      <c r="G1426" s="1">
        <v>38138</v>
      </c>
      <c r="H1426" s="1" t="s">
        <v>525</v>
      </c>
    </row>
    <row r="1427" spans="1:8" x14ac:dyDescent="0.35">
      <c r="A1427" s="1" t="s">
        <v>4730</v>
      </c>
      <c r="B1427" s="1" t="s">
        <v>4731</v>
      </c>
      <c r="C1427" s="1" t="s">
        <v>521</v>
      </c>
      <c r="D1427" s="1" t="s">
        <v>4732</v>
      </c>
      <c r="E1427" s="1" t="s">
        <v>424</v>
      </c>
      <c r="F1427" s="1" t="s">
        <v>524</v>
      </c>
      <c r="G1427" s="1">
        <v>38139</v>
      </c>
      <c r="H1427" s="1" t="s">
        <v>525</v>
      </c>
    </row>
    <row r="1428" spans="1:8" x14ac:dyDescent="0.35">
      <c r="A1428" s="1" t="s">
        <v>423</v>
      </c>
      <c r="B1428" s="1" t="s">
        <v>4733</v>
      </c>
      <c r="C1428" s="1" t="s">
        <v>521</v>
      </c>
      <c r="D1428" s="1" t="s">
        <v>4734</v>
      </c>
      <c r="E1428" s="1" t="s">
        <v>424</v>
      </c>
      <c r="F1428" s="1" t="s">
        <v>524</v>
      </c>
      <c r="G1428" s="1">
        <v>38139</v>
      </c>
      <c r="H1428" s="1" t="s">
        <v>525</v>
      </c>
    </row>
    <row r="1429" spans="1:8" x14ac:dyDescent="0.35">
      <c r="A1429" s="1" t="s">
        <v>4735</v>
      </c>
      <c r="B1429" s="1" t="s">
        <v>4736</v>
      </c>
      <c r="C1429" s="1" t="s">
        <v>521</v>
      </c>
      <c r="D1429" s="1" t="s">
        <v>4737</v>
      </c>
      <c r="E1429" s="1" t="s">
        <v>424</v>
      </c>
      <c r="F1429" s="1" t="s">
        <v>524</v>
      </c>
      <c r="G1429" s="1">
        <v>38138</v>
      </c>
      <c r="H1429" s="1" t="s">
        <v>525</v>
      </c>
    </row>
    <row r="1430" spans="1:8" x14ac:dyDescent="0.35">
      <c r="A1430" s="1" t="s">
        <v>4738</v>
      </c>
      <c r="B1430" s="1" t="s">
        <v>4739</v>
      </c>
      <c r="C1430" s="1" t="s">
        <v>521</v>
      </c>
      <c r="D1430" s="1" t="s">
        <v>4740</v>
      </c>
      <c r="E1430" s="1" t="s">
        <v>4741</v>
      </c>
      <c r="F1430" s="1" t="s">
        <v>524</v>
      </c>
      <c r="G1430" s="1">
        <v>38002</v>
      </c>
      <c r="H1430" s="1" t="s">
        <v>525</v>
      </c>
    </row>
    <row r="1431" spans="1:8" x14ac:dyDescent="0.35">
      <c r="A1431" s="1" t="s">
        <v>4742</v>
      </c>
      <c r="B1431" s="1" t="s">
        <v>4743</v>
      </c>
      <c r="C1431" s="1" t="s">
        <v>521</v>
      </c>
      <c r="D1431" s="1" t="s">
        <v>4744</v>
      </c>
      <c r="E1431" s="1" t="s">
        <v>4741</v>
      </c>
      <c r="F1431" s="1" t="s">
        <v>524</v>
      </c>
      <c r="G1431" s="1">
        <v>38002</v>
      </c>
      <c r="H1431" s="1" t="s">
        <v>525</v>
      </c>
    </row>
    <row r="1432" spans="1:8" x14ac:dyDescent="0.35">
      <c r="A1432" s="1" t="s">
        <v>4745</v>
      </c>
      <c r="B1432" s="1" t="s">
        <v>4746</v>
      </c>
      <c r="C1432" s="1" t="s">
        <v>521</v>
      </c>
      <c r="D1432" s="1" t="s">
        <v>4747</v>
      </c>
      <c r="E1432" s="1" t="s">
        <v>4130</v>
      </c>
      <c r="F1432" s="1" t="s">
        <v>524</v>
      </c>
      <c r="G1432" s="1">
        <v>38053</v>
      </c>
      <c r="H1432" s="1" t="s">
        <v>525</v>
      </c>
    </row>
    <row r="1433" spans="1:8" x14ac:dyDescent="0.35">
      <c r="A1433" s="1" t="s">
        <v>4748</v>
      </c>
      <c r="B1433" s="1" t="s">
        <v>4749</v>
      </c>
      <c r="C1433" s="1" t="s">
        <v>521</v>
      </c>
      <c r="D1433" s="1" t="s">
        <v>4750</v>
      </c>
      <c r="E1433" s="1" t="s">
        <v>4130</v>
      </c>
      <c r="F1433" s="1" t="s">
        <v>524</v>
      </c>
      <c r="G1433" s="1">
        <v>38053</v>
      </c>
      <c r="H1433" s="1" t="s">
        <v>525</v>
      </c>
    </row>
    <row r="1434" spans="1:8" x14ac:dyDescent="0.35">
      <c r="A1434" s="1" t="s">
        <v>425</v>
      </c>
      <c r="B1434" s="1" t="s">
        <v>4751</v>
      </c>
      <c r="C1434" s="1" t="s">
        <v>521</v>
      </c>
      <c r="D1434" s="1" t="s">
        <v>4752</v>
      </c>
      <c r="E1434" s="1" t="s">
        <v>4130</v>
      </c>
      <c r="F1434" s="1" t="s">
        <v>524</v>
      </c>
      <c r="G1434" s="1">
        <v>38053</v>
      </c>
      <c r="H1434" s="1" t="s">
        <v>525</v>
      </c>
    </row>
    <row r="1435" spans="1:8" x14ac:dyDescent="0.35">
      <c r="A1435" s="1" t="s">
        <v>4753</v>
      </c>
      <c r="B1435" s="1" t="s">
        <v>4754</v>
      </c>
      <c r="C1435" s="1" t="s">
        <v>521</v>
      </c>
      <c r="D1435" s="1" t="s">
        <v>4755</v>
      </c>
      <c r="E1435" s="1" t="s">
        <v>4130</v>
      </c>
      <c r="F1435" s="1" t="s">
        <v>524</v>
      </c>
      <c r="G1435" s="1">
        <v>38053</v>
      </c>
      <c r="H1435" s="1" t="s">
        <v>525</v>
      </c>
    </row>
    <row r="1436" spans="1:8" x14ac:dyDescent="0.35">
      <c r="A1436" s="1" t="s">
        <v>4756</v>
      </c>
      <c r="B1436" s="1" t="s">
        <v>4757</v>
      </c>
      <c r="C1436" s="1" t="s">
        <v>521</v>
      </c>
      <c r="D1436" s="1" t="s">
        <v>4758</v>
      </c>
      <c r="E1436" s="1" t="s">
        <v>4759</v>
      </c>
      <c r="F1436" s="1" t="s">
        <v>524</v>
      </c>
      <c r="G1436" s="1">
        <v>37030</v>
      </c>
      <c r="H1436" s="1" t="s">
        <v>525</v>
      </c>
    </row>
    <row r="1437" spans="1:8" x14ac:dyDescent="0.35">
      <c r="A1437" s="1" t="s">
        <v>4760</v>
      </c>
      <c r="B1437" s="1" t="s">
        <v>4761</v>
      </c>
      <c r="C1437" s="1" t="s">
        <v>521</v>
      </c>
      <c r="D1437" s="1" t="s">
        <v>4762</v>
      </c>
      <c r="E1437" s="1" t="s">
        <v>4759</v>
      </c>
      <c r="F1437" s="1" t="s">
        <v>524</v>
      </c>
      <c r="G1437" s="1">
        <v>37030</v>
      </c>
      <c r="H1437" s="1" t="s">
        <v>525</v>
      </c>
    </row>
    <row r="1438" spans="1:8" x14ac:dyDescent="0.35">
      <c r="A1438" s="1" t="s">
        <v>4763</v>
      </c>
      <c r="B1438" s="1" t="s">
        <v>4764</v>
      </c>
      <c r="C1438" s="1" t="s">
        <v>521</v>
      </c>
      <c r="D1438" s="1" t="s">
        <v>4765</v>
      </c>
      <c r="E1438" s="1" t="s">
        <v>4766</v>
      </c>
      <c r="F1438" s="1" t="s">
        <v>524</v>
      </c>
      <c r="G1438" s="1">
        <v>38560</v>
      </c>
      <c r="H1438" s="1" t="s">
        <v>525</v>
      </c>
    </row>
    <row r="1439" spans="1:8" x14ac:dyDescent="0.35">
      <c r="A1439" s="1" t="s">
        <v>427</v>
      </c>
      <c r="B1439" s="1" t="s">
        <v>4767</v>
      </c>
      <c r="C1439" s="1" t="s">
        <v>521</v>
      </c>
      <c r="D1439" s="1" t="s">
        <v>4768</v>
      </c>
      <c r="E1439" s="1" t="s">
        <v>4769</v>
      </c>
      <c r="F1439" s="1" t="s">
        <v>524</v>
      </c>
      <c r="G1439" s="1">
        <v>38563</v>
      </c>
      <c r="H1439" s="1" t="s">
        <v>525</v>
      </c>
    </row>
    <row r="1440" spans="1:8" x14ac:dyDescent="0.35">
      <c r="A1440" s="1" t="s">
        <v>4770</v>
      </c>
      <c r="B1440" s="1" t="s">
        <v>4771</v>
      </c>
      <c r="C1440" s="1" t="s">
        <v>521</v>
      </c>
      <c r="D1440" s="1" t="s">
        <v>4772</v>
      </c>
      <c r="E1440" s="1" t="s">
        <v>4769</v>
      </c>
      <c r="F1440" s="1" t="s">
        <v>524</v>
      </c>
      <c r="G1440" s="1">
        <v>38563</v>
      </c>
      <c r="H1440" s="1" t="s">
        <v>525</v>
      </c>
    </row>
    <row r="1441" spans="1:8" x14ac:dyDescent="0.35">
      <c r="A1441" s="1" t="s">
        <v>4773</v>
      </c>
      <c r="B1441" s="1" t="s">
        <v>4774</v>
      </c>
      <c r="C1441" s="1" t="s">
        <v>521</v>
      </c>
      <c r="D1441" s="1" t="s">
        <v>4775</v>
      </c>
      <c r="E1441" s="1" t="s">
        <v>4769</v>
      </c>
      <c r="F1441" s="1" t="s">
        <v>524</v>
      </c>
      <c r="G1441" s="1">
        <v>38563</v>
      </c>
      <c r="H1441" s="1" t="s">
        <v>525</v>
      </c>
    </row>
    <row r="1442" spans="1:8" x14ac:dyDescent="0.35">
      <c r="A1442" s="1" t="s">
        <v>429</v>
      </c>
      <c r="B1442" s="1" t="s">
        <v>4776</v>
      </c>
      <c r="C1442" s="1" t="s">
        <v>521</v>
      </c>
      <c r="D1442" s="1" t="s">
        <v>4777</v>
      </c>
      <c r="E1442" s="1" t="s">
        <v>4759</v>
      </c>
      <c r="F1442" s="1" t="s">
        <v>524</v>
      </c>
      <c r="G1442" s="1">
        <v>37030</v>
      </c>
      <c r="H1442" s="1" t="s">
        <v>525</v>
      </c>
    </row>
    <row r="1443" spans="1:8" x14ac:dyDescent="0.35">
      <c r="A1443" s="1" t="s">
        <v>4778</v>
      </c>
      <c r="B1443" s="1" t="s">
        <v>4779</v>
      </c>
      <c r="C1443" s="1" t="s">
        <v>521</v>
      </c>
      <c r="D1443" s="1" t="s">
        <v>4780</v>
      </c>
      <c r="E1443" s="1" t="s">
        <v>4759</v>
      </c>
      <c r="F1443" s="1" t="s">
        <v>524</v>
      </c>
      <c r="G1443" s="1">
        <v>37030</v>
      </c>
      <c r="H1443" s="1" t="s">
        <v>525</v>
      </c>
    </row>
    <row r="1444" spans="1:8" x14ac:dyDescent="0.35">
      <c r="A1444" s="1" t="s">
        <v>4781</v>
      </c>
      <c r="B1444" s="1" t="s">
        <v>2143</v>
      </c>
      <c r="C1444" s="1" t="s">
        <v>521</v>
      </c>
      <c r="D1444" s="1" t="s">
        <v>4782</v>
      </c>
      <c r="E1444" s="1" t="s">
        <v>4759</v>
      </c>
      <c r="F1444" s="1" t="s">
        <v>524</v>
      </c>
      <c r="G1444" s="1">
        <v>37030</v>
      </c>
      <c r="H1444" s="1" t="s">
        <v>525</v>
      </c>
    </row>
    <row r="1445" spans="1:8" x14ac:dyDescent="0.35">
      <c r="A1445" s="1" t="s">
        <v>4783</v>
      </c>
      <c r="B1445" s="1" t="s">
        <v>4784</v>
      </c>
      <c r="C1445" s="1" t="s">
        <v>521</v>
      </c>
      <c r="D1445" s="1" t="s">
        <v>4785</v>
      </c>
      <c r="E1445" s="1" t="s">
        <v>4786</v>
      </c>
      <c r="F1445" s="1" t="s">
        <v>524</v>
      </c>
      <c r="G1445" s="1">
        <v>37058</v>
      </c>
      <c r="H1445" s="1" t="s">
        <v>525</v>
      </c>
    </row>
    <row r="1446" spans="1:8" x14ac:dyDescent="0.35">
      <c r="A1446" s="1" t="s">
        <v>4787</v>
      </c>
      <c r="B1446" s="1" t="s">
        <v>4788</v>
      </c>
      <c r="C1446" s="1" t="s">
        <v>521</v>
      </c>
      <c r="D1446" s="1" t="s">
        <v>4789</v>
      </c>
      <c r="E1446" s="1" t="s">
        <v>4786</v>
      </c>
      <c r="F1446" s="1" t="s">
        <v>524</v>
      </c>
      <c r="G1446" s="1">
        <v>37058</v>
      </c>
      <c r="H1446" s="1" t="s">
        <v>525</v>
      </c>
    </row>
    <row r="1447" spans="1:8" x14ac:dyDescent="0.35">
      <c r="A1447" s="1" t="s">
        <v>4790</v>
      </c>
      <c r="B1447" s="1" t="s">
        <v>4791</v>
      </c>
      <c r="C1447" s="1" t="s">
        <v>521</v>
      </c>
      <c r="D1447" s="1" t="s">
        <v>4792</v>
      </c>
      <c r="E1447" s="1" t="s">
        <v>4793</v>
      </c>
      <c r="F1447" s="1" t="s">
        <v>524</v>
      </c>
      <c r="G1447" s="1">
        <v>37023</v>
      </c>
      <c r="H1447" s="1" t="s">
        <v>525</v>
      </c>
    </row>
    <row r="1448" spans="1:8" x14ac:dyDescent="0.35">
      <c r="A1448" s="1" t="s">
        <v>430</v>
      </c>
      <c r="B1448" s="1" t="s">
        <v>4794</v>
      </c>
      <c r="C1448" s="1" t="s">
        <v>521</v>
      </c>
      <c r="D1448" s="1" t="s">
        <v>4795</v>
      </c>
      <c r="E1448" s="1" t="s">
        <v>4786</v>
      </c>
      <c r="F1448" s="1" t="s">
        <v>524</v>
      </c>
      <c r="G1448" s="1">
        <v>37058</v>
      </c>
      <c r="H1448" s="1" t="s">
        <v>525</v>
      </c>
    </row>
    <row r="1449" spans="1:8" x14ac:dyDescent="0.35">
      <c r="A1449" s="1" t="s">
        <v>4796</v>
      </c>
      <c r="B1449" s="1" t="s">
        <v>4797</v>
      </c>
      <c r="C1449" s="1" t="s">
        <v>521</v>
      </c>
      <c r="D1449" s="1" t="s">
        <v>4798</v>
      </c>
      <c r="E1449" s="1" t="s">
        <v>4799</v>
      </c>
      <c r="F1449" s="1" t="s">
        <v>524</v>
      </c>
      <c r="G1449" s="1">
        <v>37617</v>
      </c>
      <c r="H1449" s="1" t="s">
        <v>525</v>
      </c>
    </row>
    <row r="1450" spans="1:8" x14ac:dyDescent="0.35">
      <c r="A1450" s="1" t="s">
        <v>4800</v>
      </c>
      <c r="B1450" s="1" t="s">
        <v>4801</v>
      </c>
      <c r="C1450" s="1" t="s">
        <v>521</v>
      </c>
      <c r="D1450" s="1" t="s">
        <v>4802</v>
      </c>
      <c r="E1450" s="1" t="s">
        <v>4799</v>
      </c>
      <c r="F1450" s="1" t="s">
        <v>524</v>
      </c>
      <c r="G1450" s="1">
        <v>37617</v>
      </c>
      <c r="H1450" s="1" t="s">
        <v>525</v>
      </c>
    </row>
    <row r="1451" spans="1:8" x14ac:dyDescent="0.35">
      <c r="A1451" s="1" t="s">
        <v>4803</v>
      </c>
      <c r="B1451" s="1" t="s">
        <v>4804</v>
      </c>
      <c r="C1451" s="1" t="s">
        <v>521</v>
      </c>
      <c r="D1451" s="1" t="s">
        <v>4805</v>
      </c>
      <c r="E1451" s="1" t="s">
        <v>4806</v>
      </c>
      <c r="F1451" s="1" t="s">
        <v>524</v>
      </c>
      <c r="G1451" s="1">
        <v>37618</v>
      </c>
      <c r="H1451" s="1" t="s">
        <v>525</v>
      </c>
    </row>
    <row r="1452" spans="1:8" x14ac:dyDescent="0.35">
      <c r="A1452" s="1" t="s">
        <v>4807</v>
      </c>
      <c r="B1452" s="1" t="s">
        <v>4808</v>
      </c>
      <c r="C1452" s="1" t="s">
        <v>521</v>
      </c>
      <c r="D1452" s="1" t="s">
        <v>4809</v>
      </c>
      <c r="E1452" s="1" t="s">
        <v>4806</v>
      </c>
      <c r="F1452" s="1" t="s">
        <v>524</v>
      </c>
      <c r="G1452" s="1">
        <v>37618</v>
      </c>
      <c r="H1452" s="1" t="s">
        <v>525</v>
      </c>
    </row>
    <row r="1453" spans="1:8" x14ac:dyDescent="0.35">
      <c r="A1453" s="1" t="s">
        <v>4810</v>
      </c>
      <c r="B1453" s="1" t="s">
        <v>4811</v>
      </c>
      <c r="C1453" s="1" t="s">
        <v>521</v>
      </c>
      <c r="D1453" s="1" t="s">
        <v>4812</v>
      </c>
      <c r="E1453" s="1" t="s">
        <v>4799</v>
      </c>
      <c r="F1453" s="1" t="s">
        <v>524</v>
      </c>
      <c r="G1453" s="1">
        <v>37617</v>
      </c>
      <c r="H1453" s="1" t="s">
        <v>525</v>
      </c>
    </row>
    <row r="1454" spans="1:8" x14ac:dyDescent="0.35">
      <c r="A1454" s="1" t="s">
        <v>432</v>
      </c>
      <c r="B1454" s="1" t="s">
        <v>4813</v>
      </c>
      <c r="C1454" s="1" t="s">
        <v>521</v>
      </c>
      <c r="D1454" s="1" t="s">
        <v>4814</v>
      </c>
      <c r="E1454" s="1" t="s">
        <v>4799</v>
      </c>
      <c r="F1454" s="1" t="s">
        <v>524</v>
      </c>
      <c r="G1454" s="1">
        <v>37617</v>
      </c>
      <c r="H1454" s="1" t="s">
        <v>525</v>
      </c>
    </row>
    <row r="1455" spans="1:8" x14ac:dyDescent="0.35">
      <c r="A1455" s="1" t="s">
        <v>4815</v>
      </c>
      <c r="B1455" s="1" t="s">
        <v>4816</v>
      </c>
      <c r="C1455" s="1" t="s">
        <v>521</v>
      </c>
      <c r="D1455" s="1" t="s">
        <v>4817</v>
      </c>
      <c r="E1455" s="1" t="s">
        <v>441</v>
      </c>
      <c r="F1455" s="1" t="s">
        <v>524</v>
      </c>
      <c r="G1455" s="1">
        <v>37663</v>
      </c>
      <c r="H1455" s="1" t="s">
        <v>525</v>
      </c>
    </row>
    <row r="1456" spans="1:8" x14ac:dyDescent="0.35">
      <c r="A1456" s="1" t="s">
        <v>434</v>
      </c>
      <c r="B1456" s="1" t="s">
        <v>4818</v>
      </c>
      <c r="C1456" s="1" t="s">
        <v>521</v>
      </c>
      <c r="D1456" s="1" t="s">
        <v>4819</v>
      </c>
      <c r="E1456" s="1" t="s">
        <v>4806</v>
      </c>
      <c r="F1456" s="1" t="s">
        <v>524</v>
      </c>
      <c r="G1456" s="1">
        <v>37618</v>
      </c>
      <c r="H1456" s="1" t="s">
        <v>525</v>
      </c>
    </row>
    <row r="1457" spans="1:8" x14ac:dyDescent="0.35">
      <c r="A1457" s="1" t="s">
        <v>4820</v>
      </c>
      <c r="B1457" s="1" t="s">
        <v>4821</v>
      </c>
      <c r="C1457" s="1" t="s">
        <v>521</v>
      </c>
      <c r="D1457" s="1" t="s">
        <v>4822</v>
      </c>
      <c r="E1457" s="1" t="s">
        <v>438</v>
      </c>
      <c r="F1457" s="1" t="s">
        <v>524</v>
      </c>
      <c r="G1457" s="1">
        <v>37620</v>
      </c>
      <c r="H1457" s="1" t="s">
        <v>525</v>
      </c>
    </row>
    <row r="1458" spans="1:8" x14ac:dyDescent="0.35">
      <c r="A1458" s="1" t="s">
        <v>4823</v>
      </c>
      <c r="B1458" s="1" t="s">
        <v>4824</v>
      </c>
      <c r="C1458" s="1" t="s">
        <v>521</v>
      </c>
      <c r="D1458" s="1" t="s">
        <v>4825</v>
      </c>
      <c r="E1458" s="1" t="s">
        <v>4799</v>
      </c>
      <c r="F1458" s="1" t="s">
        <v>524</v>
      </c>
      <c r="G1458" s="1">
        <v>37617</v>
      </c>
      <c r="H1458" s="1" t="s">
        <v>525</v>
      </c>
    </row>
    <row r="1459" spans="1:8" x14ac:dyDescent="0.35">
      <c r="A1459" s="1" t="s">
        <v>4826</v>
      </c>
      <c r="B1459" s="1" t="s">
        <v>2822</v>
      </c>
      <c r="C1459" s="1" t="s">
        <v>521</v>
      </c>
      <c r="D1459" s="1" t="s">
        <v>4825</v>
      </c>
      <c r="E1459" s="1" t="s">
        <v>4799</v>
      </c>
      <c r="F1459" s="1" t="s">
        <v>524</v>
      </c>
      <c r="G1459" s="1">
        <v>37617</v>
      </c>
      <c r="H1459" s="1" t="s">
        <v>525</v>
      </c>
    </row>
    <row r="1460" spans="1:8" x14ac:dyDescent="0.35">
      <c r="A1460" s="1" t="s">
        <v>4827</v>
      </c>
      <c r="B1460" s="1" t="s">
        <v>4828</v>
      </c>
      <c r="C1460" s="1" t="s">
        <v>521</v>
      </c>
      <c r="D1460" s="1" t="s">
        <v>4829</v>
      </c>
      <c r="E1460" s="1" t="s">
        <v>438</v>
      </c>
      <c r="F1460" s="1" t="s">
        <v>524</v>
      </c>
      <c r="G1460" s="1">
        <v>37620</v>
      </c>
      <c r="H1460" s="1" t="s">
        <v>525</v>
      </c>
    </row>
    <row r="1461" spans="1:8" x14ac:dyDescent="0.35">
      <c r="A1461" s="1" t="s">
        <v>4830</v>
      </c>
      <c r="B1461" s="1" t="s">
        <v>4831</v>
      </c>
      <c r="C1461" s="1" t="s">
        <v>521</v>
      </c>
      <c r="D1461" s="1" t="s">
        <v>4832</v>
      </c>
      <c r="E1461" s="1" t="s">
        <v>441</v>
      </c>
      <c r="F1461" s="1" t="s">
        <v>524</v>
      </c>
      <c r="G1461" s="1">
        <v>37664</v>
      </c>
      <c r="H1461" s="1" t="s">
        <v>525</v>
      </c>
    </row>
    <row r="1462" spans="1:8" x14ac:dyDescent="0.35">
      <c r="A1462" s="1" t="s">
        <v>4833</v>
      </c>
      <c r="B1462" s="1" t="s">
        <v>4834</v>
      </c>
      <c r="C1462" s="1" t="s">
        <v>521</v>
      </c>
      <c r="D1462" s="1" t="s">
        <v>4835</v>
      </c>
      <c r="E1462" s="1" t="s">
        <v>4836</v>
      </c>
      <c r="F1462" s="1" t="s">
        <v>524</v>
      </c>
      <c r="G1462" s="1">
        <v>37686</v>
      </c>
      <c r="H1462" s="1" t="s">
        <v>525</v>
      </c>
    </row>
    <row r="1463" spans="1:8" x14ac:dyDescent="0.35">
      <c r="A1463" s="1" t="s">
        <v>4837</v>
      </c>
      <c r="B1463" s="1" t="s">
        <v>4838</v>
      </c>
      <c r="C1463" s="1" t="s">
        <v>521</v>
      </c>
      <c r="D1463" s="1" t="s">
        <v>4839</v>
      </c>
      <c r="E1463" s="1" t="s">
        <v>441</v>
      </c>
      <c r="F1463" s="1" t="s">
        <v>524</v>
      </c>
      <c r="G1463" s="1">
        <v>37663</v>
      </c>
      <c r="H1463" s="1" t="s">
        <v>525</v>
      </c>
    </row>
    <row r="1464" spans="1:8" x14ac:dyDescent="0.35">
      <c r="A1464" s="1" t="s">
        <v>4840</v>
      </c>
      <c r="B1464" s="1" t="s">
        <v>3890</v>
      </c>
      <c r="C1464" s="1" t="s">
        <v>521</v>
      </c>
      <c r="D1464" s="1" t="s">
        <v>4841</v>
      </c>
      <c r="E1464" s="1" t="s">
        <v>441</v>
      </c>
      <c r="F1464" s="1" t="s">
        <v>524</v>
      </c>
      <c r="G1464" s="1">
        <v>37664</v>
      </c>
      <c r="H1464" s="1" t="s">
        <v>525</v>
      </c>
    </row>
    <row r="1465" spans="1:8" x14ac:dyDescent="0.35">
      <c r="A1465" s="1" t="s">
        <v>4842</v>
      </c>
      <c r="B1465" s="1" t="s">
        <v>4843</v>
      </c>
      <c r="C1465" s="1" t="s">
        <v>521</v>
      </c>
      <c r="D1465" s="1" t="s">
        <v>4844</v>
      </c>
      <c r="E1465" s="1" t="s">
        <v>441</v>
      </c>
      <c r="F1465" s="1" t="s">
        <v>524</v>
      </c>
      <c r="G1465" s="1">
        <v>37660</v>
      </c>
      <c r="H1465" s="1" t="s">
        <v>525</v>
      </c>
    </row>
    <row r="1466" spans="1:8" x14ac:dyDescent="0.35">
      <c r="A1466" s="1" t="s">
        <v>435</v>
      </c>
      <c r="B1466" s="1" t="s">
        <v>4845</v>
      </c>
      <c r="C1466" s="1" t="s">
        <v>521</v>
      </c>
      <c r="D1466" s="1" t="s">
        <v>4846</v>
      </c>
      <c r="E1466" s="1" t="s">
        <v>441</v>
      </c>
      <c r="F1466" s="1" t="s">
        <v>524</v>
      </c>
      <c r="G1466" s="1">
        <v>37660</v>
      </c>
      <c r="H1466" s="1" t="s">
        <v>525</v>
      </c>
    </row>
    <row r="1467" spans="1:8" x14ac:dyDescent="0.35">
      <c r="A1467" s="1" t="s">
        <v>436</v>
      </c>
      <c r="B1467" s="1" t="s">
        <v>4847</v>
      </c>
      <c r="C1467" s="1" t="s">
        <v>521</v>
      </c>
      <c r="D1467" s="1" t="s">
        <v>4848</v>
      </c>
      <c r="E1467" s="1" t="s">
        <v>441</v>
      </c>
      <c r="F1467" s="1" t="s">
        <v>524</v>
      </c>
      <c r="G1467" s="1">
        <v>37664</v>
      </c>
      <c r="H1467" s="1" t="s">
        <v>525</v>
      </c>
    </row>
    <row r="1468" spans="1:8" x14ac:dyDescent="0.35">
      <c r="A1468" s="1" t="s">
        <v>4849</v>
      </c>
      <c r="B1468" s="1" t="s">
        <v>4850</v>
      </c>
      <c r="C1468" s="1" t="s">
        <v>521</v>
      </c>
      <c r="D1468" s="1" t="s">
        <v>4851</v>
      </c>
      <c r="E1468" s="1" t="s">
        <v>438</v>
      </c>
      <c r="F1468" s="1" t="s">
        <v>524</v>
      </c>
      <c r="G1468" s="1">
        <v>37620</v>
      </c>
      <c r="H1468" s="1" t="s">
        <v>525</v>
      </c>
    </row>
    <row r="1469" spans="1:8" x14ac:dyDescent="0.35">
      <c r="A1469" s="1" t="s">
        <v>4852</v>
      </c>
      <c r="B1469" s="1" t="s">
        <v>1897</v>
      </c>
      <c r="C1469" s="1" t="s">
        <v>521</v>
      </c>
      <c r="D1469" s="1" t="s">
        <v>4853</v>
      </c>
      <c r="E1469" s="1" t="s">
        <v>441</v>
      </c>
      <c r="F1469" s="1" t="s">
        <v>524</v>
      </c>
      <c r="G1469" s="1">
        <v>37660</v>
      </c>
      <c r="H1469" s="1" t="s">
        <v>525</v>
      </c>
    </row>
    <row r="1470" spans="1:8" x14ac:dyDescent="0.35">
      <c r="A1470" s="1" t="s">
        <v>4854</v>
      </c>
      <c r="B1470" s="1" t="s">
        <v>4855</v>
      </c>
      <c r="C1470" s="1" t="s">
        <v>521</v>
      </c>
      <c r="D1470" s="1" t="s">
        <v>4856</v>
      </c>
      <c r="E1470" s="1" t="s">
        <v>441</v>
      </c>
      <c r="F1470" s="1" t="s">
        <v>524</v>
      </c>
      <c r="G1470" s="1">
        <v>37660</v>
      </c>
      <c r="H1470" s="1" t="s">
        <v>525</v>
      </c>
    </row>
    <row r="1471" spans="1:8" x14ac:dyDescent="0.35">
      <c r="A1471" s="1" t="s">
        <v>4857</v>
      </c>
      <c r="B1471" s="1" t="s">
        <v>4858</v>
      </c>
      <c r="C1471" s="1" t="s">
        <v>521</v>
      </c>
      <c r="D1471" s="1" t="s">
        <v>4859</v>
      </c>
      <c r="E1471" s="1" t="s">
        <v>441</v>
      </c>
      <c r="F1471" s="1" t="s">
        <v>524</v>
      </c>
      <c r="G1471" s="1">
        <v>37660</v>
      </c>
      <c r="H1471" s="1" t="s">
        <v>525</v>
      </c>
    </row>
    <row r="1472" spans="1:8" x14ac:dyDescent="0.35">
      <c r="A1472" s="1" t="s">
        <v>4860</v>
      </c>
      <c r="B1472" s="1" t="s">
        <v>4861</v>
      </c>
      <c r="C1472" s="1" t="s">
        <v>521</v>
      </c>
      <c r="D1472" s="1" t="s">
        <v>4862</v>
      </c>
      <c r="E1472" s="1" t="s">
        <v>438</v>
      </c>
      <c r="F1472" s="1" t="s">
        <v>524</v>
      </c>
      <c r="G1472" s="1">
        <v>37620</v>
      </c>
      <c r="H1472" s="1" t="s">
        <v>525</v>
      </c>
    </row>
    <row r="1473" spans="1:8" x14ac:dyDescent="0.35">
      <c r="A1473" s="1" t="s">
        <v>4863</v>
      </c>
      <c r="B1473" s="1" t="s">
        <v>4864</v>
      </c>
      <c r="C1473" s="1" t="s">
        <v>521</v>
      </c>
      <c r="D1473" s="1" t="s">
        <v>4865</v>
      </c>
      <c r="E1473" s="1" t="s">
        <v>438</v>
      </c>
      <c r="F1473" s="1" t="s">
        <v>524</v>
      </c>
      <c r="G1473" s="1">
        <v>37620</v>
      </c>
      <c r="H1473" s="1" t="s">
        <v>525</v>
      </c>
    </row>
    <row r="1474" spans="1:8" x14ac:dyDescent="0.35">
      <c r="A1474" s="1" t="s">
        <v>4866</v>
      </c>
      <c r="B1474" s="1" t="s">
        <v>4867</v>
      </c>
      <c r="C1474" s="1" t="s">
        <v>521</v>
      </c>
      <c r="D1474" s="1" t="s">
        <v>4868</v>
      </c>
      <c r="E1474" s="1" t="s">
        <v>438</v>
      </c>
      <c r="F1474" s="1" t="s">
        <v>524</v>
      </c>
      <c r="G1474" s="1">
        <v>37620</v>
      </c>
      <c r="H1474" s="1" t="s">
        <v>525</v>
      </c>
    </row>
    <row r="1475" spans="1:8" x14ac:dyDescent="0.35">
      <c r="A1475" s="1" t="s">
        <v>4869</v>
      </c>
      <c r="B1475" s="1" t="s">
        <v>4870</v>
      </c>
      <c r="C1475" s="1" t="s">
        <v>521</v>
      </c>
      <c r="D1475" s="1" t="s">
        <v>4871</v>
      </c>
      <c r="E1475" s="1" t="s">
        <v>438</v>
      </c>
      <c r="F1475" s="1" t="s">
        <v>524</v>
      </c>
      <c r="G1475" s="1">
        <v>37620</v>
      </c>
      <c r="H1475" s="1" t="s">
        <v>525</v>
      </c>
    </row>
    <row r="1476" spans="1:8" x14ac:dyDescent="0.35">
      <c r="A1476" s="1" t="s">
        <v>4872</v>
      </c>
      <c r="B1476" s="1" t="s">
        <v>4873</v>
      </c>
      <c r="C1476" s="1" t="s">
        <v>521</v>
      </c>
      <c r="D1476" s="1" t="s">
        <v>4874</v>
      </c>
      <c r="E1476" s="1" t="s">
        <v>438</v>
      </c>
      <c r="F1476" s="1" t="s">
        <v>524</v>
      </c>
      <c r="G1476" s="1">
        <v>37620</v>
      </c>
      <c r="H1476" s="1" t="s">
        <v>525</v>
      </c>
    </row>
    <row r="1477" spans="1:8" x14ac:dyDescent="0.35">
      <c r="A1477" s="1" t="s">
        <v>4875</v>
      </c>
      <c r="B1477" s="1" t="s">
        <v>4876</v>
      </c>
      <c r="C1477" s="1" t="s">
        <v>521</v>
      </c>
      <c r="D1477" s="1" t="s">
        <v>4877</v>
      </c>
      <c r="E1477" s="1" t="s">
        <v>438</v>
      </c>
      <c r="F1477" s="1" t="s">
        <v>524</v>
      </c>
      <c r="G1477" s="1">
        <v>37620</v>
      </c>
      <c r="H1477" s="1" t="s">
        <v>525</v>
      </c>
    </row>
    <row r="1478" spans="1:8" x14ac:dyDescent="0.35">
      <c r="A1478" s="1" t="s">
        <v>437</v>
      </c>
      <c r="B1478" s="1" t="s">
        <v>4878</v>
      </c>
      <c r="C1478" s="1" t="s">
        <v>521</v>
      </c>
      <c r="D1478" s="1" t="s">
        <v>4879</v>
      </c>
      <c r="E1478" s="1" t="s">
        <v>438</v>
      </c>
      <c r="F1478" s="1" t="s">
        <v>524</v>
      </c>
      <c r="G1478" s="1">
        <v>37620</v>
      </c>
      <c r="H1478" s="1" t="s">
        <v>525</v>
      </c>
    </row>
    <row r="1479" spans="1:8" x14ac:dyDescent="0.35">
      <c r="A1479" s="1" t="s">
        <v>439</v>
      </c>
      <c r="B1479" s="1" t="s">
        <v>4880</v>
      </c>
      <c r="C1479" s="1" t="s">
        <v>521</v>
      </c>
      <c r="D1479" s="1" t="s">
        <v>4881</v>
      </c>
      <c r="E1479" s="1" t="s">
        <v>438</v>
      </c>
      <c r="F1479" s="1" t="s">
        <v>524</v>
      </c>
      <c r="G1479" s="1">
        <v>37620</v>
      </c>
      <c r="H1479" s="1" t="s">
        <v>525</v>
      </c>
    </row>
    <row r="1480" spans="1:8" x14ac:dyDescent="0.35">
      <c r="A1480" s="1" t="s">
        <v>440</v>
      </c>
      <c r="B1480" s="1" t="s">
        <v>4882</v>
      </c>
      <c r="C1480" s="1" t="s">
        <v>521</v>
      </c>
      <c r="D1480" s="1" t="s">
        <v>4883</v>
      </c>
      <c r="E1480" s="1" t="s">
        <v>441</v>
      </c>
      <c r="F1480" s="1" t="s">
        <v>524</v>
      </c>
      <c r="G1480" s="1">
        <v>37664</v>
      </c>
      <c r="H1480" s="1" t="s">
        <v>525</v>
      </c>
    </row>
    <row r="1481" spans="1:8" x14ac:dyDescent="0.35">
      <c r="A1481" s="1" t="s">
        <v>4884</v>
      </c>
      <c r="B1481" s="1" t="s">
        <v>3235</v>
      </c>
      <c r="C1481" s="1" t="s">
        <v>521</v>
      </c>
      <c r="D1481" s="1" t="s">
        <v>4885</v>
      </c>
      <c r="E1481" s="1" t="s">
        <v>441</v>
      </c>
      <c r="F1481" s="1" t="s">
        <v>524</v>
      </c>
      <c r="G1481" s="1">
        <v>37660</v>
      </c>
      <c r="H1481" s="1" t="s">
        <v>525</v>
      </c>
    </row>
    <row r="1482" spans="1:8" x14ac:dyDescent="0.35">
      <c r="A1482" s="1" t="s">
        <v>4886</v>
      </c>
      <c r="B1482" s="1" t="s">
        <v>4887</v>
      </c>
      <c r="C1482" s="1" t="s">
        <v>521</v>
      </c>
      <c r="D1482" s="1" t="s">
        <v>4888</v>
      </c>
      <c r="E1482" s="1" t="s">
        <v>441</v>
      </c>
      <c r="F1482" s="1" t="s">
        <v>524</v>
      </c>
      <c r="G1482" s="1">
        <v>37664</v>
      </c>
      <c r="H1482" s="1" t="s">
        <v>525</v>
      </c>
    </row>
    <row r="1483" spans="1:8" x14ac:dyDescent="0.35">
      <c r="A1483" s="1" t="s">
        <v>4889</v>
      </c>
      <c r="B1483" s="1" t="s">
        <v>4890</v>
      </c>
      <c r="C1483" s="1" t="s">
        <v>521</v>
      </c>
      <c r="D1483" s="1" t="s">
        <v>4891</v>
      </c>
      <c r="E1483" s="1" t="s">
        <v>441</v>
      </c>
      <c r="F1483" s="1" t="s">
        <v>524</v>
      </c>
      <c r="G1483" s="1">
        <v>37664</v>
      </c>
      <c r="H1483" s="1" t="s">
        <v>525</v>
      </c>
    </row>
    <row r="1484" spans="1:8" x14ac:dyDescent="0.35">
      <c r="A1484" s="1" t="s">
        <v>4892</v>
      </c>
      <c r="B1484" s="1" t="s">
        <v>4893</v>
      </c>
      <c r="C1484" s="1" t="s">
        <v>521</v>
      </c>
      <c r="D1484" s="1" t="s">
        <v>4894</v>
      </c>
      <c r="E1484" s="1" t="s">
        <v>441</v>
      </c>
      <c r="F1484" s="1" t="s">
        <v>524</v>
      </c>
      <c r="G1484" s="1">
        <v>37660</v>
      </c>
      <c r="H1484" s="1" t="s">
        <v>525</v>
      </c>
    </row>
    <row r="1485" spans="1:8" x14ac:dyDescent="0.35">
      <c r="A1485" s="1" t="s">
        <v>4895</v>
      </c>
      <c r="B1485" s="1" t="s">
        <v>4896</v>
      </c>
      <c r="C1485" s="1" t="s">
        <v>521</v>
      </c>
      <c r="D1485" s="1" t="s">
        <v>4897</v>
      </c>
      <c r="E1485" s="1" t="s">
        <v>441</v>
      </c>
      <c r="F1485" s="1" t="s">
        <v>524</v>
      </c>
      <c r="G1485" s="1">
        <v>37664</v>
      </c>
      <c r="H1485" s="1" t="s">
        <v>525</v>
      </c>
    </row>
    <row r="1486" spans="1:8" x14ac:dyDescent="0.35">
      <c r="A1486" s="1" t="s">
        <v>4898</v>
      </c>
      <c r="B1486" s="1" t="s">
        <v>4899</v>
      </c>
      <c r="C1486" s="1" t="s">
        <v>521</v>
      </c>
      <c r="D1486" s="1" t="s">
        <v>4900</v>
      </c>
      <c r="E1486" s="1" t="s">
        <v>441</v>
      </c>
      <c r="F1486" s="1" t="s">
        <v>524</v>
      </c>
      <c r="G1486" s="1">
        <v>37664</v>
      </c>
      <c r="H1486" s="1" t="s">
        <v>525</v>
      </c>
    </row>
    <row r="1487" spans="1:8" x14ac:dyDescent="0.35">
      <c r="A1487" s="1" t="s">
        <v>4901</v>
      </c>
      <c r="B1487" s="1" t="s">
        <v>4902</v>
      </c>
      <c r="C1487" s="1" t="s">
        <v>521</v>
      </c>
      <c r="D1487" s="1" t="s">
        <v>4903</v>
      </c>
      <c r="E1487" s="1" t="s">
        <v>441</v>
      </c>
      <c r="F1487" s="1" t="s">
        <v>524</v>
      </c>
      <c r="G1487" s="1">
        <v>37664</v>
      </c>
      <c r="H1487" s="1" t="s">
        <v>525</v>
      </c>
    </row>
    <row r="1488" spans="1:8" x14ac:dyDescent="0.35">
      <c r="A1488" s="1" t="s">
        <v>4904</v>
      </c>
      <c r="B1488" s="1" t="s">
        <v>4905</v>
      </c>
      <c r="C1488" s="1" t="s">
        <v>521</v>
      </c>
      <c r="D1488" s="1" t="s">
        <v>4906</v>
      </c>
      <c r="E1488" s="1" t="s">
        <v>441</v>
      </c>
      <c r="F1488" s="1" t="s">
        <v>524</v>
      </c>
      <c r="G1488" s="1">
        <v>37660</v>
      </c>
      <c r="H1488" s="1" t="s">
        <v>525</v>
      </c>
    </row>
    <row r="1489" spans="1:8" x14ac:dyDescent="0.35">
      <c r="A1489" s="1" t="s">
        <v>4907</v>
      </c>
      <c r="B1489" s="1" t="s">
        <v>4908</v>
      </c>
      <c r="C1489" s="1" t="s">
        <v>521</v>
      </c>
      <c r="D1489" s="1" t="s">
        <v>4909</v>
      </c>
      <c r="E1489" s="1" t="s">
        <v>441</v>
      </c>
      <c r="F1489" s="1" t="s">
        <v>524</v>
      </c>
      <c r="G1489" s="1">
        <v>37660</v>
      </c>
      <c r="H1489" s="1" t="s">
        <v>525</v>
      </c>
    </row>
    <row r="1490" spans="1:8" x14ac:dyDescent="0.35">
      <c r="A1490" s="1" t="s">
        <v>4910</v>
      </c>
      <c r="B1490" s="1" t="s">
        <v>4911</v>
      </c>
      <c r="C1490" s="1" t="s">
        <v>521</v>
      </c>
      <c r="D1490" s="1" t="s">
        <v>4912</v>
      </c>
      <c r="E1490" s="1" t="s">
        <v>441</v>
      </c>
      <c r="F1490" s="1" t="s">
        <v>524</v>
      </c>
      <c r="G1490" s="1">
        <v>37660</v>
      </c>
      <c r="H1490" s="1" t="s">
        <v>525</v>
      </c>
    </row>
    <row r="1491" spans="1:8" x14ac:dyDescent="0.35">
      <c r="A1491" s="1" t="s">
        <v>4913</v>
      </c>
      <c r="B1491" s="1" t="s">
        <v>4914</v>
      </c>
      <c r="C1491" s="1" t="s">
        <v>521</v>
      </c>
      <c r="D1491" s="1" t="s">
        <v>4915</v>
      </c>
      <c r="E1491" s="1" t="s">
        <v>4916</v>
      </c>
      <c r="F1491" s="1" t="s">
        <v>524</v>
      </c>
      <c r="G1491" s="1">
        <v>37075</v>
      </c>
      <c r="H1491" s="1" t="s">
        <v>525</v>
      </c>
    </row>
    <row r="1492" spans="1:8" x14ac:dyDescent="0.35">
      <c r="A1492" s="1" t="s">
        <v>4917</v>
      </c>
      <c r="B1492" s="1" t="s">
        <v>4918</v>
      </c>
      <c r="C1492" s="1" t="s">
        <v>521</v>
      </c>
      <c r="D1492" s="1" t="s">
        <v>4919</v>
      </c>
      <c r="E1492" s="1" t="s">
        <v>4916</v>
      </c>
      <c r="F1492" s="1" t="s">
        <v>524</v>
      </c>
      <c r="G1492" s="1">
        <v>37075</v>
      </c>
      <c r="H1492" s="1" t="s">
        <v>525</v>
      </c>
    </row>
    <row r="1493" spans="1:8" x14ac:dyDescent="0.35">
      <c r="A1493" s="1" t="s">
        <v>442</v>
      </c>
      <c r="B1493" s="1" t="s">
        <v>4920</v>
      </c>
      <c r="C1493" s="1" t="s">
        <v>521</v>
      </c>
      <c r="D1493" s="1" t="s">
        <v>4921</v>
      </c>
      <c r="E1493" s="1" t="s">
        <v>4916</v>
      </c>
      <c r="F1493" s="1" t="s">
        <v>524</v>
      </c>
      <c r="G1493" s="1">
        <v>37075</v>
      </c>
      <c r="H1493" s="1" t="s">
        <v>525</v>
      </c>
    </row>
    <row r="1494" spans="1:8" x14ac:dyDescent="0.35">
      <c r="A1494" s="1" t="s">
        <v>4922</v>
      </c>
      <c r="B1494" s="1" t="s">
        <v>4923</v>
      </c>
      <c r="C1494" s="1" t="s">
        <v>521</v>
      </c>
      <c r="D1494" s="1" t="s">
        <v>4924</v>
      </c>
      <c r="E1494" s="1" t="s">
        <v>4925</v>
      </c>
      <c r="F1494" s="1" t="s">
        <v>524</v>
      </c>
      <c r="G1494" s="1">
        <v>37022</v>
      </c>
      <c r="H1494" s="1" t="s">
        <v>525</v>
      </c>
    </row>
    <row r="1495" spans="1:8" x14ac:dyDescent="0.35">
      <c r="A1495" s="1" t="s">
        <v>4926</v>
      </c>
      <c r="B1495" s="1" t="s">
        <v>4927</v>
      </c>
      <c r="C1495" s="1" t="s">
        <v>521</v>
      </c>
      <c r="D1495" s="1" t="s">
        <v>4928</v>
      </c>
      <c r="E1495" s="1" t="s">
        <v>4916</v>
      </c>
      <c r="F1495" s="1" t="s">
        <v>524</v>
      </c>
      <c r="G1495" s="1">
        <v>37075</v>
      </c>
      <c r="H1495" s="1" t="s">
        <v>525</v>
      </c>
    </row>
    <row r="1496" spans="1:8" x14ac:dyDescent="0.35">
      <c r="A1496" s="1" t="s">
        <v>444</v>
      </c>
      <c r="B1496" s="1" t="s">
        <v>4929</v>
      </c>
      <c r="C1496" s="1" t="s">
        <v>521</v>
      </c>
      <c r="D1496" s="1" t="s">
        <v>4930</v>
      </c>
      <c r="E1496" s="1" t="s">
        <v>4931</v>
      </c>
      <c r="F1496" s="1" t="s">
        <v>524</v>
      </c>
      <c r="G1496" s="1">
        <v>37066</v>
      </c>
      <c r="H1496" s="1" t="s">
        <v>525</v>
      </c>
    </row>
    <row r="1497" spans="1:8" x14ac:dyDescent="0.35">
      <c r="A1497" s="1" t="s">
        <v>4932</v>
      </c>
      <c r="B1497" s="1" t="s">
        <v>4933</v>
      </c>
      <c r="C1497" s="1" t="s">
        <v>521</v>
      </c>
      <c r="D1497" s="1" t="s">
        <v>4934</v>
      </c>
      <c r="E1497" s="1" t="s">
        <v>4931</v>
      </c>
      <c r="F1497" s="1" t="s">
        <v>524</v>
      </c>
      <c r="G1497" s="1">
        <v>37066</v>
      </c>
      <c r="H1497" s="1" t="s">
        <v>525</v>
      </c>
    </row>
    <row r="1498" spans="1:8" x14ac:dyDescent="0.35">
      <c r="A1498" s="1" t="s">
        <v>4935</v>
      </c>
      <c r="B1498" s="1" t="s">
        <v>4936</v>
      </c>
      <c r="C1498" s="1" t="s">
        <v>521</v>
      </c>
      <c r="D1498" s="1" t="s">
        <v>4937</v>
      </c>
      <c r="E1498" s="1" t="s">
        <v>4916</v>
      </c>
      <c r="F1498" s="1" t="s">
        <v>524</v>
      </c>
      <c r="G1498" s="1">
        <v>37075</v>
      </c>
      <c r="H1498" s="1" t="s">
        <v>525</v>
      </c>
    </row>
    <row r="1499" spans="1:8" x14ac:dyDescent="0.35">
      <c r="A1499" s="1" t="s">
        <v>445</v>
      </c>
      <c r="B1499" s="1" t="s">
        <v>4938</v>
      </c>
      <c r="C1499" s="1" t="s">
        <v>521</v>
      </c>
      <c r="D1499" s="1" t="s">
        <v>4939</v>
      </c>
      <c r="E1499" s="1" t="s">
        <v>4916</v>
      </c>
      <c r="F1499" s="1" t="s">
        <v>524</v>
      </c>
      <c r="G1499" s="1">
        <v>37075</v>
      </c>
      <c r="H1499" s="1" t="s">
        <v>525</v>
      </c>
    </row>
    <row r="1500" spans="1:8" x14ac:dyDescent="0.35">
      <c r="A1500" s="1" t="s">
        <v>4940</v>
      </c>
      <c r="B1500" s="1" t="s">
        <v>4941</v>
      </c>
      <c r="C1500" s="1" t="s">
        <v>521</v>
      </c>
      <c r="D1500" s="1" t="s">
        <v>4942</v>
      </c>
      <c r="E1500" s="1" t="s">
        <v>4931</v>
      </c>
      <c r="F1500" s="1" t="s">
        <v>524</v>
      </c>
      <c r="G1500" s="1">
        <v>37066</v>
      </c>
      <c r="H1500" s="1" t="s">
        <v>525</v>
      </c>
    </row>
    <row r="1501" spans="1:8" x14ac:dyDescent="0.35">
      <c r="A1501" s="1" t="s">
        <v>4943</v>
      </c>
      <c r="B1501" s="1" t="s">
        <v>4944</v>
      </c>
      <c r="C1501" s="1" t="s">
        <v>521</v>
      </c>
      <c r="D1501" s="1" t="s">
        <v>4945</v>
      </c>
      <c r="E1501" s="1" t="s">
        <v>4916</v>
      </c>
      <c r="F1501" s="1" t="s">
        <v>524</v>
      </c>
      <c r="G1501" s="1">
        <v>37075</v>
      </c>
      <c r="H1501" s="1" t="s">
        <v>525</v>
      </c>
    </row>
    <row r="1502" spans="1:8" x14ac:dyDescent="0.35">
      <c r="A1502" s="1" t="s">
        <v>4946</v>
      </c>
      <c r="B1502" s="1" t="s">
        <v>4947</v>
      </c>
      <c r="C1502" s="1" t="s">
        <v>521</v>
      </c>
      <c r="D1502" s="1" t="s">
        <v>4948</v>
      </c>
      <c r="E1502" s="1" t="s">
        <v>4916</v>
      </c>
      <c r="F1502" s="1" t="s">
        <v>524</v>
      </c>
      <c r="G1502" s="1">
        <v>37075</v>
      </c>
      <c r="H1502" s="1" t="s">
        <v>525</v>
      </c>
    </row>
    <row r="1503" spans="1:8" x14ac:dyDescent="0.35">
      <c r="A1503" s="1" t="s">
        <v>446</v>
      </c>
      <c r="B1503" s="1" t="s">
        <v>4949</v>
      </c>
      <c r="C1503" s="1" t="s">
        <v>521</v>
      </c>
      <c r="D1503" s="1" t="s">
        <v>4950</v>
      </c>
      <c r="E1503" s="1" t="s">
        <v>4916</v>
      </c>
      <c r="F1503" s="1" t="s">
        <v>524</v>
      </c>
      <c r="G1503" s="1">
        <v>37075</v>
      </c>
      <c r="H1503" s="1" t="s">
        <v>525</v>
      </c>
    </row>
    <row r="1504" spans="1:8" x14ac:dyDescent="0.35">
      <c r="A1504" s="1" t="s">
        <v>4951</v>
      </c>
      <c r="B1504" s="1" t="s">
        <v>4952</v>
      </c>
      <c r="C1504" s="1" t="s">
        <v>521</v>
      </c>
      <c r="D1504" s="1" t="s">
        <v>4953</v>
      </c>
      <c r="E1504" s="1" t="s">
        <v>4954</v>
      </c>
      <c r="F1504" s="1" t="s">
        <v>524</v>
      </c>
      <c r="G1504" s="1">
        <v>37148</v>
      </c>
      <c r="H1504" s="1" t="s">
        <v>525</v>
      </c>
    </row>
    <row r="1505" spans="1:8" x14ac:dyDescent="0.35">
      <c r="A1505" s="1" t="s">
        <v>4955</v>
      </c>
      <c r="B1505" s="1" t="s">
        <v>4956</v>
      </c>
      <c r="C1505" s="1" t="s">
        <v>521</v>
      </c>
      <c r="D1505" s="1" t="s">
        <v>4957</v>
      </c>
      <c r="E1505" s="1" t="s">
        <v>4916</v>
      </c>
      <c r="F1505" s="1" t="s">
        <v>524</v>
      </c>
      <c r="G1505" s="1">
        <v>37075</v>
      </c>
      <c r="H1505" s="1" t="s">
        <v>525</v>
      </c>
    </row>
    <row r="1506" spans="1:8" x14ac:dyDescent="0.35">
      <c r="A1506" s="1" t="s">
        <v>4958</v>
      </c>
      <c r="B1506" s="1" t="s">
        <v>4959</v>
      </c>
      <c r="C1506" s="1" t="s">
        <v>521</v>
      </c>
      <c r="D1506" s="1" t="s">
        <v>4960</v>
      </c>
      <c r="E1506" s="1" t="s">
        <v>4931</v>
      </c>
      <c r="F1506" s="1" t="s">
        <v>524</v>
      </c>
      <c r="G1506" s="1">
        <v>37066</v>
      </c>
      <c r="H1506" s="1" t="s">
        <v>525</v>
      </c>
    </row>
    <row r="1507" spans="1:8" x14ac:dyDescent="0.35">
      <c r="A1507" s="1" t="s">
        <v>4961</v>
      </c>
      <c r="B1507" s="1" t="s">
        <v>4962</v>
      </c>
      <c r="C1507" s="1" t="s">
        <v>521</v>
      </c>
      <c r="D1507" s="1" t="s">
        <v>4963</v>
      </c>
      <c r="E1507" s="1" t="s">
        <v>1389</v>
      </c>
      <c r="F1507" s="1" t="s">
        <v>524</v>
      </c>
      <c r="G1507" s="1">
        <v>37072</v>
      </c>
      <c r="H1507" s="1" t="s">
        <v>525</v>
      </c>
    </row>
    <row r="1508" spans="1:8" x14ac:dyDescent="0.35">
      <c r="A1508" s="1" t="s">
        <v>4964</v>
      </c>
      <c r="B1508" s="1" t="s">
        <v>4965</v>
      </c>
      <c r="C1508" s="1" t="s">
        <v>521</v>
      </c>
      <c r="D1508" s="1" t="s">
        <v>4966</v>
      </c>
      <c r="E1508" s="1" t="s">
        <v>1389</v>
      </c>
      <c r="F1508" s="1" t="s">
        <v>524</v>
      </c>
      <c r="G1508" s="1">
        <v>37072</v>
      </c>
      <c r="H1508" s="1" t="s">
        <v>525</v>
      </c>
    </row>
    <row r="1509" spans="1:8" x14ac:dyDescent="0.35">
      <c r="A1509" s="1" t="s">
        <v>4967</v>
      </c>
      <c r="B1509" s="1" t="s">
        <v>4968</v>
      </c>
      <c r="C1509" s="1" t="s">
        <v>521</v>
      </c>
      <c r="D1509" s="1" t="s">
        <v>4969</v>
      </c>
      <c r="E1509" s="1" t="s">
        <v>4916</v>
      </c>
      <c r="F1509" s="1" t="s">
        <v>524</v>
      </c>
      <c r="G1509" s="1">
        <v>37075</v>
      </c>
      <c r="H1509" s="1" t="s">
        <v>525</v>
      </c>
    </row>
    <row r="1510" spans="1:8" x14ac:dyDescent="0.35">
      <c r="A1510" s="1" t="s">
        <v>4970</v>
      </c>
      <c r="B1510" s="1" t="s">
        <v>4971</v>
      </c>
      <c r="C1510" s="1" t="s">
        <v>521</v>
      </c>
      <c r="D1510" s="1" t="s">
        <v>4972</v>
      </c>
      <c r="E1510" s="1" t="s">
        <v>4954</v>
      </c>
      <c r="F1510" s="1" t="s">
        <v>524</v>
      </c>
      <c r="G1510" s="1">
        <v>37148</v>
      </c>
      <c r="H1510" s="1" t="s">
        <v>525</v>
      </c>
    </row>
    <row r="1511" spans="1:8" x14ac:dyDescent="0.35">
      <c r="A1511" s="1" t="s">
        <v>4973</v>
      </c>
      <c r="B1511" s="1" t="s">
        <v>4974</v>
      </c>
      <c r="C1511" s="1" t="s">
        <v>521</v>
      </c>
      <c r="D1511" s="1" t="s">
        <v>4975</v>
      </c>
      <c r="E1511" s="1" t="s">
        <v>4925</v>
      </c>
      <c r="F1511" s="1" t="s">
        <v>524</v>
      </c>
      <c r="G1511" s="1">
        <v>37022</v>
      </c>
      <c r="H1511" s="1" t="s">
        <v>525</v>
      </c>
    </row>
    <row r="1512" spans="1:8" x14ac:dyDescent="0.35">
      <c r="A1512" s="1" t="s">
        <v>4976</v>
      </c>
      <c r="B1512" s="1" t="s">
        <v>1781</v>
      </c>
      <c r="C1512" s="1" t="s">
        <v>521</v>
      </c>
      <c r="D1512" s="1" t="s">
        <v>4977</v>
      </c>
      <c r="E1512" s="1" t="s">
        <v>4978</v>
      </c>
      <c r="F1512" s="1" t="s">
        <v>524</v>
      </c>
      <c r="G1512" s="1">
        <v>37048</v>
      </c>
      <c r="H1512" s="1" t="s">
        <v>525</v>
      </c>
    </row>
    <row r="1513" spans="1:8" x14ac:dyDescent="0.35">
      <c r="A1513" s="1" t="s">
        <v>447</v>
      </c>
      <c r="B1513" s="1" t="s">
        <v>4979</v>
      </c>
      <c r="C1513" s="1" t="s">
        <v>521</v>
      </c>
      <c r="D1513" s="1" t="s">
        <v>4980</v>
      </c>
      <c r="E1513" s="1" t="s">
        <v>4954</v>
      </c>
      <c r="F1513" s="1" t="s">
        <v>524</v>
      </c>
      <c r="G1513" s="1">
        <v>37148</v>
      </c>
      <c r="H1513" s="1" t="s">
        <v>525</v>
      </c>
    </row>
    <row r="1514" spans="1:8" x14ac:dyDescent="0.35">
      <c r="A1514" s="1" t="s">
        <v>4981</v>
      </c>
      <c r="B1514" s="1" t="s">
        <v>4982</v>
      </c>
      <c r="C1514" s="1" t="s">
        <v>521</v>
      </c>
      <c r="D1514" s="1" t="s">
        <v>4983</v>
      </c>
      <c r="E1514" s="1" t="s">
        <v>4954</v>
      </c>
      <c r="F1514" s="1" t="s">
        <v>524</v>
      </c>
      <c r="G1514" s="1">
        <v>37148</v>
      </c>
      <c r="H1514" s="1" t="s">
        <v>525</v>
      </c>
    </row>
    <row r="1515" spans="1:8" x14ac:dyDescent="0.35">
      <c r="A1515" s="1" t="s">
        <v>448</v>
      </c>
      <c r="B1515" s="1" t="s">
        <v>4984</v>
      </c>
      <c r="C1515" s="1" t="s">
        <v>521</v>
      </c>
      <c r="D1515" s="1" t="s">
        <v>4985</v>
      </c>
      <c r="E1515" s="1" t="s">
        <v>4931</v>
      </c>
      <c r="F1515" s="1" t="s">
        <v>524</v>
      </c>
      <c r="G1515" s="1">
        <v>37066</v>
      </c>
      <c r="H1515" s="1" t="s">
        <v>525</v>
      </c>
    </row>
    <row r="1516" spans="1:8" x14ac:dyDescent="0.35">
      <c r="A1516" s="1" t="s">
        <v>4986</v>
      </c>
      <c r="B1516" s="1" t="s">
        <v>4987</v>
      </c>
      <c r="C1516" s="1" t="s">
        <v>521</v>
      </c>
      <c r="D1516" s="1" t="s">
        <v>4988</v>
      </c>
      <c r="E1516" s="1" t="s">
        <v>4954</v>
      </c>
      <c r="F1516" s="1" t="s">
        <v>524</v>
      </c>
      <c r="G1516" s="1">
        <v>37148</v>
      </c>
      <c r="H1516" s="1" t="s">
        <v>525</v>
      </c>
    </row>
    <row r="1517" spans="1:8" x14ac:dyDescent="0.35">
      <c r="A1517" s="1" t="s">
        <v>4989</v>
      </c>
      <c r="B1517" s="1" t="s">
        <v>4990</v>
      </c>
      <c r="C1517" s="1" t="s">
        <v>521</v>
      </c>
      <c r="D1517" s="1" t="s">
        <v>4991</v>
      </c>
      <c r="E1517" s="1" t="s">
        <v>4931</v>
      </c>
      <c r="F1517" s="1" t="s">
        <v>524</v>
      </c>
      <c r="G1517" s="1">
        <v>37066</v>
      </c>
      <c r="H1517" s="1" t="s">
        <v>525</v>
      </c>
    </row>
    <row r="1518" spans="1:8" x14ac:dyDescent="0.35">
      <c r="A1518" s="1" t="s">
        <v>4992</v>
      </c>
      <c r="B1518" s="1" t="s">
        <v>4993</v>
      </c>
      <c r="C1518" s="1" t="s">
        <v>521</v>
      </c>
      <c r="D1518" s="1" t="s">
        <v>4994</v>
      </c>
      <c r="E1518" s="1" t="s">
        <v>4931</v>
      </c>
      <c r="F1518" s="1" t="s">
        <v>524</v>
      </c>
      <c r="G1518" s="1">
        <v>37066</v>
      </c>
      <c r="H1518" s="1" t="s">
        <v>525</v>
      </c>
    </row>
    <row r="1519" spans="1:8" x14ac:dyDescent="0.35">
      <c r="A1519" s="1" t="s">
        <v>4995</v>
      </c>
      <c r="B1519" s="1" t="s">
        <v>4996</v>
      </c>
      <c r="C1519" s="1" t="s">
        <v>521</v>
      </c>
      <c r="D1519" s="1" t="s">
        <v>4997</v>
      </c>
      <c r="E1519" s="1" t="s">
        <v>4931</v>
      </c>
      <c r="F1519" s="1" t="s">
        <v>524</v>
      </c>
      <c r="G1519" s="1">
        <v>37066</v>
      </c>
      <c r="H1519" s="1" t="s">
        <v>525</v>
      </c>
    </row>
    <row r="1520" spans="1:8" x14ac:dyDescent="0.35">
      <c r="A1520" s="1" t="s">
        <v>449</v>
      </c>
      <c r="B1520" s="1" t="s">
        <v>4998</v>
      </c>
      <c r="C1520" s="1" t="s">
        <v>521</v>
      </c>
      <c r="D1520" s="1" t="s">
        <v>4999</v>
      </c>
      <c r="E1520" s="1" t="s">
        <v>4931</v>
      </c>
      <c r="F1520" s="1" t="s">
        <v>524</v>
      </c>
      <c r="G1520" s="1">
        <v>37066</v>
      </c>
      <c r="H1520" s="1" t="s">
        <v>525</v>
      </c>
    </row>
    <row r="1521" spans="1:8" x14ac:dyDescent="0.35">
      <c r="A1521" s="1" t="s">
        <v>5000</v>
      </c>
      <c r="B1521" s="1" t="s">
        <v>5001</v>
      </c>
      <c r="C1521" s="1" t="s">
        <v>521</v>
      </c>
      <c r="D1521" s="1" t="s">
        <v>5002</v>
      </c>
      <c r="E1521" s="1" t="s">
        <v>4931</v>
      </c>
      <c r="F1521" s="1" t="s">
        <v>524</v>
      </c>
      <c r="G1521" s="1">
        <v>37066</v>
      </c>
      <c r="H1521" s="1" t="s">
        <v>525</v>
      </c>
    </row>
    <row r="1522" spans="1:8" x14ac:dyDescent="0.35">
      <c r="A1522" s="1" t="s">
        <v>5003</v>
      </c>
      <c r="B1522" s="1" t="s">
        <v>5004</v>
      </c>
      <c r="C1522" s="1" t="s">
        <v>521</v>
      </c>
      <c r="D1522" s="1" t="s">
        <v>5005</v>
      </c>
      <c r="E1522" s="1" t="s">
        <v>4931</v>
      </c>
      <c r="F1522" s="1" t="s">
        <v>524</v>
      </c>
      <c r="G1522" s="1">
        <v>37066</v>
      </c>
      <c r="H1522" s="1" t="s">
        <v>525</v>
      </c>
    </row>
    <row r="1523" spans="1:8" x14ac:dyDescent="0.35">
      <c r="A1523" s="1" t="s">
        <v>5006</v>
      </c>
      <c r="B1523" s="1" t="s">
        <v>5007</v>
      </c>
      <c r="C1523" s="1" t="s">
        <v>521</v>
      </c>
      <c r="D1523" s="1" t="s">
        <v>5008</v>
      </c>
      <c r="E1523" s="1" t="s">
        <v>4916</v>
      </c>
      <c r="F1523" s="1" t="s">
        <v>524</v>
      </c>
      <c r="G1523" s="1">
        <v>37075</v>
      </c>
      <c r="H1523" s="1" t="s">
        <v>525</v>
      </c>
    </row>
    <row r="1524" spans="1:8" x14ac:dyDescent="0.35">
      <c r="A1524" s="1" t="s">
        <v>5009</v>
      </c>
      <c r="B1524" s="1" t="s">
        <v>5010</v>
      </c>
      <c r="C1524" s="1" t="s">
        <v>521</v>
      </c>
      <c r="D1524" s="1" t="s">
        <v>5011</v>
      </c>
      <c r="E1524" s="1" t="s">
        <v>4931</v>
      </c>
      <c r="F1524" s="1" t="s">
        <v>524</v>
      </c>
      <c r="G1524" s="1">
        <v>37066</v>
      </c>
      <c r="H1524" s="1" t="s">
        <v>525</v>
      </c>
    </row>
    <row r="1525" spans="1:8" x14ac:dyDescent="0.35">
      <c r="A1525" s="1" t="s">
        <v>5012</v>
      </c>
      <c r="B1525" s="1" t="s">
        <v>5013</v>
      </c>
      <c r="C1525" s="1" t="s">
        <v>521</v>
      </c>
      <c r="D1525" s="1" t="s">
        <v>5014</v>
      </c>
      <c r="E1525" s="1" t="s">
        <v>4916</v>
      </c>
      <c r="F1525" s="1" t="s">
        <v>524</v>
      </c>
      <c r="G1525" s="1">
        <v>37075</v>
      </c>
      <c r="H1525" s="1" t="s">
        <v>525</v>
      </c>
    </row>
    <row r="1526" spans="1:8" x14ac:dyDescent="0.35">
      <c r="A1526" s="1" t="s">
        <v>5015</v>
      </c>
      <c r="B1526" s="1" t="s">
        <v>5016</v>
      </c>
      <c r="C1526" s="1" t="s">
        <v>521</v>
      </c>
      <c r="D1526" s="1" t="s">
        <v>5017</v>
      </c>
      <c r="E1526" s="1" t="s">
        <v>4916</v>
      </c>
      <c r="F1526" s="1" t="s">
        <v>524</v>
      </c>
      <c r="G1526" s="1">
        <v>37075</v>
      </c>
      <c r="H1526" s="1" t="s">
        <v>525</v>
      </c>
    </row>
    <row r="1527" spans="1:8" x14ac:dyDescent="0.35">
      <c r="A1527" s="1" t="s">
        <v>5018</v>
      </c>
      <c r="B1527" s="1" t="s">
        <v>5019</v>
      </c>
      <c r="C1527" s="1" t="s">
        <v>521</v>
      </c>
      <c r="D1527" s="1" t="s">
        <v>5020</v>
      </c>
      <c r="E1527" s="1" t="s">
        <v>3175</v>
      </c>
      <c r="F1527" s="1" t="s">
        <v>524</v>
      </c>
      <c r="G1527" s="1">
        <v>37186</v>
      </c>
      <c r="H1527" s="1" t="s">
        <v>525</v>
      </c>
    </row>
    <row r="1528" spans="1:8" x14ac:dyDescent="0.35">
      <c r="A1528" s="1" t="s">
        <v>5021</v>
      </c>
      <c r="B1528" s="1" t="s">
        <v>5022</v>
      </c>
      <c r="C1528" s="1" t="s">
        <v>521</v>
      </c>
      <c r="D1528" s="1" t="s">
        <v>5023</v>
      </c>
      <c r="E1528" s="1" t="s">
        <v>3175</v>
      </c>
      <c r="F1528" s="1" t="s">
        <v>524</v>
      </c>
      <c r="G1528" s="1">
        <v>37186</v>
      </c>
      <c r="H1528" s="1" t="s">
        <v>525</v>
      </c>
    </row>
    <row r="1529" spans="1:8" x14ac:dyDescent="0.35">
      <c r="A1529" s="1" t="s">
        <v>450</v>
      </c>
      <c r="B1529" s="1" t="s">
        <v>5024</v>
      </c>
      <c r="C1529" s="1" t="s">
        <v>521</v>
      </c>
      <c r="D1529" s="1" t="s">
        <v>5025</v>
      </c>
      <c r="E1529" s="1" t="s">
        <v>3175</v>
      </c>
      <c r="F1529" s="1" t="s">
        <v>524</v>
      </c>
      <c r="G1529" s="1">
        <v>37186</v>
      </c>
      <c r="H1529" s="1" t="s">
        <v>525</v>
      </c>
    </row>
    <row r="1530" spans="1:8" x14ac:dyDescent="0.35">
      <c r="A1530" s="1" t="s">
        <v>451</v>
      </c>
      <c r="B1530" s="1" t="s">
        <v>5026</v>
      </c>
      <c r="C1530" s="1" t="s">
        <v>521</v>
      </c>
      <c r="D1530" s="1" t="s">
        <v>5027</v>
      </c>
      <c r="E1530" s="1" t="s">
        <v>3815</v>
      </c>
      <c r="F1530" s="1" t="s">
        <v>524</v>
      </c>
      <c r="G1530" s="1">
        <v>37188</v>
      </c>
      <c r="H1530" s="1" t="s">
        <v>525</v>
      </c>
    </row>
    <row r="1531" spans="1:8" x14ac:dyDescent="0.35">
      <c r="A1531" s="1" t="s">
        <v>5028</v>
      </c>
      <c r="B1531" s="1" t="s">
        <v>5029</v>
      </c>
      <c r="C1531" s="1" t="s">
        <v>521</v>
      </c>
      <c r="D1531" s="1" t="s">
        <v>5030</v>
      </c>
      <c r="E1531" s="1" t="s">
        <v>3815</v>
      </c>
      <c r="F1531" s="1" t="s">
        <v>524</v>
      </c>
      <c r="G1531" s="1">
        <v>37188</v>
      </c>
      <c r="H1531" s="1" t="s">
        <v>525</v>
      </c>
    </row>
    <row r="1532" spans="1:8" x14ac:dyDescent="0.35">
      <c r="A1532" s="1" t="s">
        <v>5031</v>
      </c>
      <c r="B1532" s="1" t="s">
        <v>5032</v>
      </c>
      <c r="C1532" s="1" t="s">
        <v>521</v>
      </c>
      <c r="D1532" s="1" t="s">
        <v>5033</v>
      </c>
      <c r="E1532" s="1" t="s">
        <v>4916</v>
      </c>
      <c r="F1532" s="1" t="s">
        <v>524</v>
      </c>
      <c r="G1532" s="1">
        <v>37075</v>
      </c>
      <c r="H1532" s="1" t="s">
        <v>525</v>
      </c>
    </row>
    <row r="1533" spans="1:8" x14ac:dyDescent="0.35">
      <c r="A1533" s="1" t="s">
        <v>5034</v>
      </c>
      <c r="B1533" s="1" t="s">
        <v>5035</v>
      </c>
      <c r="C1533" s="1" t="s">
        <v>521</v>
      </c>
      <c r="D1533" s="1" t="s">
        <v>5036</v>
      </c>
      <c r="E1533" s="1" t="s">
        <v>4954</v>
      </c>
      <c r="F1533" s="1" t="s">
        <v>524</v>
      </c>
      <c r="G1533" s="1">
        <v>37148</v>
      </c>
      <c r="H1533" s="1" t="s">
        <v>525</v>
      </c>
    </row>
    <row r="1534" spans="1:8" x14ac:dyDescent="0.35">
      <c r="A1534" s="1" t="s">
        <v>5037</v>
      </c>
      <c r="B1534" s="1" t="s">
        <v>5038</v>
      </c>
      <c r="C1534" s="1" t="s">
        <v>521</v>
      </c>
      <c r="D1534" s="1" t="s">
        <v>5039</v>
      </c>
      <c r="E1534" s="1" t="s">
        <v>3815</v>
      </c>
      <c r="F1534" s="1" t="s">
        <v>524</v>
      </c>
      <c r="G1534" s="1">
        <v>37188</v>
      </c>
      <c r="H1534" s="1" t="s">
        <v>525</v>
      </c>
    </row>
    <row r="1535" spans="1:8" x14ac:dyDescent="0.35">
      <c r="A1535" s="1" t="s">
        <v>5040</v>
      </c>
      <c r="B1535" s="1" t="s">
        <v>5041</v>
      </c>
      <c r="C1535" s="1" t="s">
        <v>521</v>
      </c>
      <c r="D1535" s="1" t="s">
        <v>5042</v>
      </c>
      <c r="E1535" s="1" t="s">
        <v>4954</v>
      </c>
      <c r="F1535" s="1" t="s">
        <v>524</v>
      </c>
      <c r="G1535" s="1">
        <v>37148</v>
      </c>
      <c r="H1535" s="1" t="s">
        <v>525</v>
      </c>
    </row>
    <row r="1536" spans="1:8" x14ac:dyDescent="0.35">
      <c r="A1536" s="1" t="s">
        <v>452</v>
      </c>
      <c r="B1536" s="1" t="s">
        <v>5043</v>
      </c>
      <c r="C1536" s="1" t="s">
        <v>521</v>
      </c>
      <c r="D1536" s="1" t="s">
        <v>5044</v>
      </c>
      <c r="E1536" s="1" t="s">
        <v>4931</v>
      </c>
      <c r="F1536" s="1" t="s">
        <v>524</v>
      </c>
      <c r="G1536" s="1">
        <v>37066</v>
      </c>
      <c r="H1536" s="1" t="s">
        <v>525</v>
      </c>
    </row>
    <row r="1537" spans="1:8" x14ac:dyDescent="0.35">
      <c r="A1537" s="1" t="s">
        <v>5045</v>
      </c>
      <c r="B1537" s="1" t="s">
        <v>5046</v>
      </c>
      <c r="C1537" s="1" t="s">
        <v>521</v>
      </c>
      <c r="D1537" s="1" t="s">
        <v>5047</v>
      </c>
      <c r="E1537" s="1" t="s">
        <v>4916</v>
      </c>
      <c r="F1537" s="1" t="s">
        <v>524</v>
      </c>
      <c r="G1537" s="1">
        <v>37075</v>
      </c>
      <c r="H1537" s="1" t="s">
        <v>525</v>
      </c>
    </row>
    <row r="1538" spans="1:8" x14ac:dyDescent="0.35">
      <c r="A1538" s="1" t="s">
        <v>5048</v>
      </c>
      <c r="B1538" s="1" t="s">
        <v>5049</v>
      </c>
      <c r="C1538" s="1" t="s">
        <v>521</v>
      </c>
      <c r="D1538" s="1" t="s">
        <v>5050</v>
      </c>
      <c r="E1538" s="1" t="s">
        <v>5051</v>
      </c>
      <c r="F1538" s="1" t="s">
        <v>524</v>
      </c>
      <c r="G1538" s="1">
        <v>38019</v>
      </c>
      <c r="H1538" s="1" t="s">
        <v>525</v>
      </c>
    </row>
    <row r="1539" spans="1:8" x14ac:dyDescent="0.35">
      <c r="A1539" s="1" t="s">
        <v>5052</v>
      </c>
      <c r="B1539" s="1" t="s">
        <v>5053</v>
      </c>
      <c r="C1539" s="1" t="s">
        <v>521</v>
      </c>
      <c r="D1539" s="1" t="s">
        <v>5054</v>
      </c>
      <c r="E1539" s="1" t="s">
        <v>5055</v>
      </c>
      <c r="F1539" s="1" t="s">
        <v>524</v>
      </c>
      <c r="G1539" s="1">
        <v>38004</v>
      </c>
      <c r="H1539" s="1" t="s">
        <v>525</v>
      </c>
    </row>
    <row r="1540" spans="1:8" x14ac:dyDescent="0.35">
      <c r="A1540" s="1" t="s">
        <v>5056</v>
      </c>
      <c r="B1540" s="1" t="s">
        <v>5057</v>
      </c>
      <c r="C1540" s="1" t="s">
        <v>521</v>
      </c>
      <c r="D1540" s="1" t="s">
        <v>5058</v>
      </c>
      <c r="E1540" s="1" t="s">
        <v>5059</v>
      </c>
      <c r="F1540" s="1" t="s">
        <v>524</v>
      </c>
      <c r="G1540" s="1">
        <v>38011</v>
      </c>
      <c r="H1540" s="1" t="s">
        <v>525</v>
      </c>
    </row>
    <row r="1541" spans="1:8" x14ac:dyDescent="0.35">
      <c r="A1541" s="1" t="s">
        <v>453</v>
      </c>
      <c r="B1541" s="1" t="s">
        <v>5060</v>
      </c>
      <c r="C1541" s="1" t="s">
        <v>521</v>
      </c>
      <c r="D1541" s="1" t="s">
        <v>5061</v>
      </c>
      <c r="E1541" s="1" t="s">
        <v>5059</v>
      </c>
      <c r="F1541" s="1" t="s">
        <v>524</v>
      </c>
      <c r="G1541" s="1">
        <v>38011</v>
      </c>
      <c r="H1541" s="1" t="s">
        <v>525</v>
      </c>
    </row>
    <row r="1542" spans="1:8" x14ac:dyDescent="0.35">
      <c r="A1542" s="1" t="s">
        <v>5062</v>
      </c>
      <c r="B1542" s="1" t="s">
        <v>5063</v>
      </c>
      <c r="C1542" s="1" t="s">
        <v>521</v>
      </c>
      <c r="D1542" s="1" t="s">
        <v>5064</v>
      </c>
      <c r="E1542" s="1" t="s">
        <v>5059</v>
      </c>
      <c r="F1542" s="1" t="s">
        <v>524</v>
      </c>
      <c r="G1542" s="1">
        <v>38011</v>
      </c>
      <c r="H1542" s="1" t="s">
        <v>525</v>
      </c>
    </row>
    <row r="1543" spans="1:8" x14ac:dyDescent="0.35">
      <c r="A1543" s="1" t="s">
        <v>5065</v>
      </c>
      <c r="B1543" s="1" t="s">
        <v>5066</v>
      </c>
      <c r="C1543" s="1" t="s">
        <v>521</v>
      </c>
      <c r="D1543" s="1" t="s">
        <v>5067</v>
      </c>
      <c r="E1543" s="1" t="s">
        <v>5051</v>
      </c>
      <c r="F1543" s="1" t="s">
        <v>524</v>
      </c>
      <c r="G1543" s="1">
        <v>38019</v>
      </c>
      <c r="H1543" s="1" t="s">
        <v>525</v>
      </c>
    </row>
    <row r="1544" spans="1:8" x14ac:dyDescent="0.35">
      <c r="A1544" s="1" t="s">
        <v>5068</v>
      </c>
      <c r="B1544" s="1" t="s">
        <v>5069</v>
      </c>
      <c r="C1544" s="1" t="s">
        <v>521</v>
      </c>
      <c r="D1544" s="1" t="s">
        <v>5070</v>
      </c>
      <c r="E1544" s="1" t="s">
        <v>5051</v>
      </c>
      <c r="F1544" s="1" t="s">
        <v>524</v>
      </c>
      <c r="G1544" s="1">
        <v>38019</v>
      </c>
      <c r="H1544" s="1" t="s">
        <v>525</v>
      </c>
    </row>
    <row r="1545" spans="1:8" x14ac:dyDescent="0.35">
      <c r="A1545" s="1" t="s">
        <v>455</v>
      </c>
      <c r="B1545" s="1" t="s">
        <v>5071</v>
      </c>
      <c r="C1545" s="1" t="s">
        <v>521</v>
      </c>
      <c r="D1545" s="1" t="s">
        <v>5072</v>
      </c>
      <c r="E1545" s="1" t="s">
        <v>5051</v>
      </c>
      <c r="F1545" s="1" t="s">
        <v>524</v>
      </c>
      <c r="G1545" s="1">
        <v>38019</v>
      </c>
      <c r="H1545" s="1" t="s">
        <v>525</v>
      </c>
    </row>
    <row r="1546" spans="1:8" x14ac:dyDescent="0.35">
      <c r="A1546" s="1" t="s">
        <v>5073</v>
      </c>
      <c r="B1546" s="1" t="s">
        <v>5074</v>
      </c>
      <c r="C1546" s="1" t="s">
        <v>521</v>
      </c>
      <c r="D1546" s="1" t="s">
        <v>5075</v>
      </c>
      <c r="E1546" s="1" t="s">
        <v>5051</v>
      </c>
      <c r="F1546" s="1" t="s">
        <v>524</v>
      </c>
      <c r="G1546" s="1">
        <v>38019</v>
      </c>
      <c r="H1546" s="1" t="s">
        <v>525</v>
      </c>
    </row>
    <row r="1547" spans="1:8" x14ac:dyDescent="0.35">
      <c r="A1547" s="1" t="s">
        <v>5076</v>
      </c>
      <c r="B1547" s="1" t="s">
        <v>5077</v>
      </c>
      <c r="C1547" s="1" t="s">
        <v>521</v>
      </c>
      <c r="D1547" s="1" t="s">
        <v>5078</v>
      </c>
      <c r="E1547" s="1" t="s">
        <v>5079</v>
      </c>
      <c r="F1547" s="1" t="s">
        <v>524</v>
      </c>
      <c r="G1547" s="1">
        <v>38023</v>
      </c>
      <c r="H1547" s="1" t="s">
        <v>525</v>
      </c>
    </row>
    <row r="1548" spans="1:8" x14ac:dyDescent="0.35">
      <c r="A1548" s="1" t="s">
        <v>5080</v>
      </c>
      <c r="B1548" s="1" t="s">
        <v>5081</v>
      </c>
      <c r="C1548" s="1" t="s">
        <v>521</v>
      </c>
      <c r="D1548" s="1" t="s">
        <v>5082</v>
      </c>
      <c r="E1548" s="1" t="s">
        <v>5083</v>
      </c>
      <c r="F1548" s="1" t="s">
        <v>524</v>
      </c>
      <c r="G1548" s="1">
        <v>38058</v>
      </c>
      <c r="H1548" s="1" t="s">
        <v>525</v>
      </c>
    </row>
    <row r="1549" spans="1:8" x14ac:dyDescent="0.35">
      <c r="A1549" s="1" t="s">
        <v>5084</v>
      </c>
      <c r="B1549" s="1" t="s">
        <v>5085</v>
      </c>
      <c r="C1549" s="1" t="s">
        <v>521</v>
      </c>
      <c r="D1549" s="1" t="s">
        <v>5086</v>
      </c>
      <c r="E1549" s="1" t="s">
        <v>5083</v>
      </c>
      <c r="F1549" s="1" t="s">
        <v>524</v>
      </c>
      <c r="G1549" s="1">
        <v>38058</v>
      </c>
      <c r="H1549" s="1" t="s">
        <v>525</v>
      </c>
    </row>
    <row r="1550" spans="1:8" x14ac:dyDescent="0.35">
      <c r="A1550" s="1" t="s">
        <v>456</v>
      </c>
      <c r="B1550" s="1" t="s">
        <v>5087</v>
      </c>
      <c r="C1550" s="1" t="s">
        <v>521</v>
      </c>
      <c r="D1550" s="1" t="s">
        <v>5088</v>
      </c>
      <c r="E1550" s="1" t="s">
        <v>5083</v>
      </c>
      <c r="F1550" s="1" t="s">
        <v>524</v>
      </c>
      <c r="G1550" s="1">
        <v>38058</v>
      </c>
      <c r="H1550" s="1" t="s">
        <v>525</v>
      </c>
    </row>
    <row r="1551" spans="1:8" x14ac:dyDescent="0.35">
      <c r="A1551" s="1" t="s">
        <v>5089</v>
      </c>
      <c r="B1551" s="1" t="s">
        <v>5090</v>
      </c>
      <c r="C1551" s="1" t="s">
        <v>521</v>
      </c>
      <c r="D1551" s="1" t="s">
        <v>5091</v>
      </c>
      <c r="E1551" s="1" t="s">
        <v>5092</v>
      </c>
      <c r="F1551" s="1" t="s">
        <v>524</v>
      </c>
      <c r="G1551" s="1">
        <v>37074</v>
      </c>
      <c r="H1551" s="1" t="s">
        <v>525</v>
      </c>
    </row>
    <row r="1552" spans="1:8" x14ac:dyDescent="0.35">
      <c r="A1552" s="1" t="s">
        <v>457</v>
      </c>
      <c r="B1552" s="1" t="s">
        <v>5093</v>
      </c>
      <c r="C1552" s="1" t="s">
        <v>521</v>
      </c>
      <c r="D1552" s="1" t="s">
        <v>5094</v>
      </c>
      <c r="E1552" s="1" t="s">
        <v>5092</v>
      </c>
      <c r="F1552" s="1" t="s">
        <v>524</v>
      </c>
      <c r="G1552" s="1">
        <v>37074</v>
      </c>
      <c r="H1552" s="1" t="s">
        <v>525</v>
      </c>
    </row>
    <row r="1553" spans="1:8" x14ac:dyDescent="0.35">
      <c r="A1553" s="1" t="s">
        <v>5095</v>
      </c>
      <c r="B1553" s="1" t="s">
        <v>5096</v>
      </c>
      <c r="C1553" s="1" t="s">
        <v>521</v>
      </c>
      <c r="D1553" s="1" t="s">
        <v>5097</v>
      </c>
      <c r="E1553" s="1" t="s">
        <v>5092</v>
      </c>
      <c r="F1553" s="1" t="s">
        <v>524</v>
      </c>
      <c r="G1553" s="1">
        <v>37074</v>
      </c>
      <c r="H1553" s="1" t="s">
        <v>525</v>
      </c>
    </row>
    <row r="1554" spans="1:8" x14ac:dyDescent="0.35">
      <c r="A1554" s="1" t="s">
        <v>5098</v>
      </c>
      <c r="B1554" s="1" t="s">
        <v>5099</v>
      </c>
      <c r="C1554" s="1" t="s">
        <v>521</v>
      </c>
      <c r="D1554" s="1" t="s">
        <v>5100</v>
      </c>
      <c r="E1554" s="1" t="s">
        <v>5101</v>
      </c>
      <c r="F1554" s="1" t="s">
        <v>524</v>
      </c>
      <c r="G1554" s="1">
        <v>37650</v>
      </c>
      <c r="H1554" s="1" t="s">
        <v>525</v>
      </c>
    </row>
    <row r="1555" spans="1:8" x14ac:dyDescent="0.35">
      <c r="A1555" s="1" t="s">
        <v>5102</v>
      </c>
      <c r="B1555" s="1" t="s">
        <v>5103</v>
      </c>
      <c r="C1555" s="1" t="s">
        <v>521</v>
      </c>
      <c r="D1555" s="1" t="s">
        <v>5104</v>
      </c>
      <c r="E1555" s="1" t="s">
        <v>5101</v>
      </c>
      <c r="F1555" s="1" t="s">
        <v>524</v>
      </c>
      <c r="G1555" s="1">
        <v>37650</v>
      </c>
      <c r="H1555" s="1" t="s">
        <v>525</v>
      </c>
    </row>
    <row r="1556" spans="1:8" x14ac:dyDescent="0.35">
      <c r="A1556" s="1" t="s">
        <v>5105</v>
      </c>
      <c r="B1556" s="1" t="s">
        <v>1903</v>
      </c>
      <c r="C1556" s="1" t="s">
        <v>521</v>
      </c>
      <c r="D1556" s="1" t="s">
        <v>5106</v>
      </c>
      <c r="E1556" s="1" t="s">
        <v>5101</v>
      </c>
      <c r="F1556" s="1" t="s">
        <v>524</v>
      </c>
      <c r="G1556" s="1">
        <v>37650</v>
      </c>
      <c r="H1556" s="1" t="s">
        <v>525</v>
      </c>
    </row>
    <row r="1557" spans="1:8" x14ac:dyDescent="0.35">
      <c r="A1557" s="1" t="s">
        <v>5107</v>
      </c>
      <c r="B1557" s="1" t="s">
        <v>5108</v>
      </c>
      <c r="C1557" s="1" t="s">
        <v>521</v>
      </c>
      <c r="D1557" s="1" t="s">
        <v>5109</v>
      </c>
      <c r="E1557" s="1" t="s">
        <v>5101</v>
      </c>
      <c r="F1557" s="1" t="s">
        <v>524</v>
      </c>
      <c r="G1557" s="1">
        <v>37650</v>
      </c>
      <c r="H1557" s="1" t="s">
        <v>525</v>
      </c>
    </row>
    <row r="1558" spans="1:8" x14ac:dyDescent="0.35">
      <c r="A1558" s="1" t="s">
        <v>459</v>
      </c>
      <c r="B1558" s="1" t="s">
        <v>5110</v>
      </c>
      <c r="C1558" s="1" t="s">
        <v>521</v>
      </c>
      <c r="D1558" s="1" t="s">
        <v>5111</v>
      </c>
      <c r="E1558" s="1" t="s">
        <v>5101</v>
      </c>
      <c r="F1558" s="1" t="s">
        <v>524</v>
      </c>
      <c r="G1558" s="1">
        <v>37650</v>
      </c>
      <c r="H1558" s="1" t="s">
        <v>525</v>
      </c>
    </row>
    <row r="1559" spans="1:8" x14ac:dyDescent="0.35">
      <c r="A1559" s="1" t="s">
        <v>5112</v>
      </c>
      <c r="B1559" s="1" t="s">
        <v>5113</v>
      </c>
      <c r="C1559" s="1" t="s">
        <v>521</v>
      </c>
      <c r="D1559" s="1" t="s">
        <v>5114</v>
      </c>
      <c r="E1559" s="1" t="s">
        <v>5115</v>
      </c>
      <c r="F1559" s="1" t="s">
        <v>524</v>
      </c>
      <c r="G1559" s="1">
        <v>37692</v>
      </c>
      <c r="H1559" s="1" t="s">
        <v>525</v>
      </c>
    </row>
    <row r="1560" spans="1:8" x14ac:dyDescent="0.35">
      <c r="A1560" s="1" t="s">
        <v>5116</v>
      </c>
      <c r="B1560" s="1" t="s">
        <v>2183</v>
      </c>
      <c r="C1560" s="1" t="s">
        <v>521</v>
      </c>
      <c r="D1560" s="1" t="s">
        <v>5117</v>
      </c>
      <c r="E1560" s="1" t="s">
        <v>5118</v>
      </c>
      <c r="F1560" s="1" t="s">
        <v>524</v>
      </c>
      <c r="G1560" s="1">
        <v>37807</v>
      </c>
      <c r="H1560" s="1" t="s">
        <v>525</v>
      </c>
    </row>
    <row r="1561" spans="1:8" x14ac:dyDescent="0.35">
      <c r="A1561" s="1" t="s">
        <v>5119</v>
      </c>
      <c r="B1561" s="1" t="s">
        <v>5120</v>
      </c>
      <c r="C1561" s="1" t="s">
        <v>521</v>
      </c>
      <c r="D1561" s="1" t="s">
        <v>5121</v>
      </c>
      <c r="E1561" s="1" t="s">
        <v>5118</v>
      </c>
      <c r="F1561" s="1" t="s">
        <v>524</v>
      </c>
      <c r="G1561" s="1">
        <v>37807</v>
      </c>
      <c r="H1561" s="1" t="s">
        <v>525</v>
      </c>
    </row>
    <row r="1562" spans="1:8" x14ac:dyDescent="0.35">
      <c r="A1562" s="1" t="s">
        <v>5122</v>
      </c>
      <c r="B1562" s="1" t="s">
        <v>5123</v>
      </c>
      <c r="C1562" s="1" t="s">
        <v>521</v>
      </c>
      <c r="D1562" s="1" t="s">
        <v>5124</v>
      </c>
      <c r="E1562" s="1" t="s">
        <v>5125</v>
      </c>
      <c r="F1562" s="1" t="s">
        <v>524</v>
      </c>
      <c r="G1562" s="1">
        <v>37779</v>
      </c>
      <c r="H1562" s="1" t="s">
        <v>525</v>
      </c>
    </row>
    <row r="1563" spans="1:8" x14ac:dyDescent="0.35">
      <c r="A1563" s="1" t="s">
        <v>5126</v>
      </c>
      <c r="B1563" s="1" t="s">
        <v>5127</v>
      </c>
      <c r="C1563" s="1" t="s">
        <v>521</v>
      </c>
      <c r="D1563" s="1" t="s">
        <v>5128</v>
      </c>
      <c r="E1563" s="1" t="s">
        <v>5118</v>
      </c>
      <c r="F1563" s="1" t="s">
        <v>524</v>
      </c>
      <c r="G1563" s="1">
        <v>37807</v>
      </c>
      <c r="H1563" s="1" t="s">
        <v>525</v>
      </c>
    </row>
    <row r="1564" spans="1:8" x14ac:dyDescent="0.35">
      <c r="A1564" s="1" t="s">
        <v>5129</v>
      </c>
      <c r="B1564" s="1" t="s">
        <v>5130</v>
      </c>
      <c r="C1564" s="1" t="s">
        <v>521</v>
      </c>
      <c r="D1564" s="1" t="s">
        <v>5131</v>
      </c>
      <c r="E1564" s="1" t="s">
        <v>5132</v>
      </c>
      <c r="F1564" s="1" t="s">
        <v>524</v>
      </c>
      <c r="G1564" s="1">
        <v>37866</v>
      </c>
      <c r="H1564" s="1" t="s">
        <v>525</v>
      </c>
    </row>
    <row r="1565" spans="1:8" x14ac:dyDescent="0.35">
      <c r="A1565" s="1" t="s">
        <v>461</v>
      </c>
      <c r="B1565" s="1" t="s">
        <v>5133</v>
      </c>
      <c r="C1565" s="1" t="s">
        <v>521</v>
      </c>
      <c r="D1565" s="1" t="s">
        <v>5134</v>
      </c>
      <c r="E1565" s="1" t="s">
        <v>5118</v>
      </c>
      <c r="F1565" s="1" t="s">
        <v>524</v>
      </c>
      <c r="G1565" s="1">
        <v>37807</v>
      </c>
      <c r="H1565" s="1" t="s">
        <v>525</v>
      </c>
    </row>
    <row r="1566" spans="1:8" x14ac:dyDescent="0.35">
      <c r="A1566" s="1" t="s">
        <v>5135</v>
      </c>
      <c r="B1566" s="1" t="s">
        <v>5136</v>
      </c>
      <c r="C1566" s="1" t="s">
        <v>521</v>
      </c>
      <c r="D1566" s="1" t="s">
        <v>5137</v>
      </c>
      <c r="E1566" s="1" t="s">
        <v>5118</v>
      </c>
      <c r="F1566" s="1" t="s">
        <v>524</v>
      </c>
      <c r="G1566" s="1">
        <v>37807</v>
      </c>
      <c r="H1566" s="1" t="s">
        <v>525</v>
      </c>
    </row>
    <row r="1567" spans="1:8" x14ac:dyDescent="0.35">
      <c r="A1567" s="1" t="s">
        <v>5138</v>
      </c>
      <c r="B1567" s="1" t="s">
        <v>5139</v>
      </c>
      <c r="C1567" s="1" t="s">
        <v>521</v>
      </c>
      <c r="D1567" s="1" t="s">
        <v>5140</v>
      </c>
      <c r="E1567" s="1" t="s">
        <v>5118</v>
      </c>
      <c r="F1567" s="1" t="s">
        <v>524</v>
      </c>
      <c r="G1567" s="1">
        <v>37807</v>
      </c>
      <c r="H1567" s="1" t="s">
        <v>525</v>
      </c>
    </row>
    <row r="1568" spans="1:8" x14ac:dyDescent="0.35">
      <c r="A1568" s="1" t="s">
        <v>5141</v>
      </c>
      <c r="B1568" s="1" t="s">
        <v>5142</v>
      </c>
      <c r="C1568" s="1" t="s">
        <v>521</v>
      </c>
      <c r="D1568" s="1" t="s">
        <v>5143</v>
      </c>
      <c r="E1568" s="1" t="s">
        <v>5144</v>
      </c>
      <c r="F1568" s="1" t="s">
        <v>524</v>
      </c>
      <c r="G1568" s="1">
        <v>38585</v>
      </c>
      <c r="H1568" s="1" t="s">
        <v>525</v>
      </c>
    </row>
    <row r="1569" spans="1:8" x14ac:dyDescent="0.35">
      <c r="A1569" s="1" t="s">
        <v>463</v>
      </c>
      <c r="B1569" s="1" t="s">
        <v>5145</v>
      </c>
      <c r="C1569" s="1" t="s">
        <v>521</v>
      </c>
      <c r="D1569" s="1" t="s">
        <v>5146</v>
      </c>
      <c r="E1569" s="1" t="s">
        <v>5144</v>
      </c>
      <c r="F1569" s="1" t="s">
        <v>524</v>
      </c>
      <c r="G1569" s="1">
        <v>38585</v>
      </c>
      <c r="H1569" s="1" t="s">
        <v>525</v>
      </c>
    </row>
    <row r="1570" spans="1:8" x14ac:dyDescent="0.35">
      <c r="A1570" s="1" t="s">
        <v>5147</v>
      </c>
      <c r="B1570" s="1" t="s">
        <v>5148</v>
      </c>
      <c r="C1570" s="1" t="s">
        <v>521</v>
      </c>
      <c r="D1570" s="1" t="s">
        <v>5149</v>
      </c>
      <c r="E1570" s="1" t="s">
        <v>5150</v>
      </c>
      <c r="F1570" s="1" t="s">
        <v>524</v>
      </c>
      <c r="G1570" s="1">
        <v>37110</v>
      </c>
      <c r="H1570" s="1" t="s">
        <v>525</v>
      </c>
    </row>
    <row r="1571" spans="1:8" x14ac:dyDescent="0.35">
      <c r="A1571" s="1" t="s">
        <v>5151</v>
      </c>
      <c r="B1571" s="1" t="s">
        <v>5152</v>
      </c>
      <c r="C1571" s="1" t="s">
        <v>521</v>
      </c>
      <c r="D1571" s="1" t="s">
        <v>5153</v>
      </c>
      <c r="E1571" s="1" t="s">
        <v>5150</v>
      </c>
      <c r="F1571" s="1" t="s">
        <v>524</v>
      </c>
      <c r="G1571" s="1">
        <v>37110</v>
      </c>
      <c r="H1571" s="1" t="s">
        <v>525</v>
      </c>
    </row>
    <row r="1572" spans="1:8" x14ac:dyDescent="0.35">
      <c r="A1572" s="1" t="s">
        <v>5154</v>
      </c>
      <c r="B1572" s="1" t="s">
        <v>5155</v>
      </c>
      <c r="C1572" s="1" t="s">
        <v>521</v>
      </c>
      <c r="D1572" s="1" t="s">
        <v>5156</v>
      </c>
      <c r="E1572" s="1" t="s">
        <v>5157</v>
      </c>
      <c r="F1572" s="1" t="s">
        <v>524</v>
      </c>
      <c r="G1572" s="1">
        <v>38581</v>
      </c>
      <c r="H1572" s="1" t="s">
        <v>525</v>
      </c>
    </row>
    <row r="1573" spans="1:8" x14ac:dyDescent="0.35">
      <c r="A1573" s="1" t="s">
        <v>5158</v>
      </c>
      <c r="B1573" s="1" t="s">
        <v>5159</v>
      </c>
      <c r="C1573" s="1" t="s">
        <v>521</v>
      </c>
      <c r="D1573" s="1" t="s">
        <v>5160</v>
      </c>
      <c r="E1573" s="1" t="s">
        <v>5150</v>
      </c>
      <c r="F1573" s="1" t="s">
        <v>524</v>
      </c>
      <c r="G1573" s="1">
        <v>37110</v>
      </c>
      <c r="H1573" s="1" t="s">
        <v>525</v>
      </c>
    </row>
    <row r="1574" spans="1:8" x14ac:dyDescent="0.35">
      <c r="A1574" s="1" t="s">
        <v>5161</v>
      </c>
      <c r="B1574" s="1" t="s">
        <v>5162</v>
      </c>
      <c r="C1574" s="1" t="s">
        <v>521</v>
      </c>
      <c r="D1574" s="1" t="s">
        <v>5163</v>
      </c>
      <c r="E1574" s="1" t="s">
        <v>5150</v>
      </c>
      <c r="F1574" s="1" t="s">
        <v>524</v>
      </c>
      <c r="G1574" s="1">
        <v>37110</v>
      </c>
      <c r="H1574" s="1" t="s">
        <v>525</v>
      </c>
    </row>
    <row r="1575" spans="1:8" x14ac:dyDescent="0.35">
      <c r="A1575" s="1" t="s">
        <v>5164</v>
      </c>
      <c r="B1575" s="1" t="s">
        <v>5165</v>
      </c>
      <c r="C1575" s="1" t="s">
        <v>521</v>
      </c>
      <c r="D1575" s="1" t="s">
        <v>5166</v>
      </c>
      <c r="E1575" s="1" t="s">
        <v>5167</v>
      </c>
      <c r="F1575" s="1" t="s">
        <v>524</v>
      </c>
      <c r="G1575" s="1">
        <v>37357</v>
      </c>
      <c r="H1575" s="1" t="s">
        <v>525</v>
      </c>
    </row>
    <row r="1576" spans="1:8" x14ac:dyDescent="0.35">
      <c r="A1576" s="1" t="s">
        <v>5168</v>
      </c>
      <c r="B1576" s="1" t="s">
        <v>5169</v>
      </c>
      <c r="C1576" s="1" t="s">
        <v>521</v>
      </c>
      <c r="D1576" s="1" t="s">
        <v>5170</v>
      </c>
      <c r="E1576" s="1" t="s">
        <v>5150</v>
      </c>
      <c r="F1576" s="1" t="s">
        <v>524</v>
      </c>
      <c r="G1576" s="1">
        <v>37110</v>
      </c>
      <c r="H1576" s="1" t="s">
        <v>525</v>
      </c>
    </row>
    <row r="1577" spans="1:8" x14ac:dyDescent="0.35">
      <c r="A1577" s="1" t="s">
        <v>5171</v>
      </c>
      <c r="B1577" s="1" t="s">
        <v>5172</v>
      </c>
      <c r="C1577" s="1" t="s">
        <v>521</v>
      </c>
      <c r="D1577" s="1" t="s">
        <v>5173</v>
      </c>
      <c r="E1577" s="1" t="s">
        <v>5150</v>
      </c>
      <c r="F1577" s="1" t="s">
        <v>524</v>
      </c>
      <c r="G1577" s="1">
        <v>37110</v>
      </c>
      <c r="H1577" s="1" t="s">
        <v>525</v>
      </c>
    </row>
    <row r="1578" spans="1:8" x14ac:dyDescent="0.35">
      <c r="A1578" s="1" t="s">
        <v>465</v>
      </c>
      <c r="B1578" s="1" t="s">
        <v>5174</v>
      </c>
      <c r="C1578" s="1" t="s">
        <v>521</v>
      </c>
      <c r="D1578" s="1" t="s">
        <v>5175</v>
      </c>
      <c r="E1578" s="1" t="s">
        <v>5150</v>
      </c>
      <c r="F1578" s="1" t="s">
        <v>524</v>
      </c>
      <c r="G1578" s="1">
        <v>37110</v>
      </c>
      <c r="H1578" s="1" t="s">
        <v>525</v>
      </c>
    </row>
    <row r="1579" spans="1:8" x14ac:dyDescent="0.35">
      <c r="A1579" s="1" t="s">
        <v>5176</v>
      </c>
      <c r="B1579" s="1" t="s">
        <v>2162</v>
      </c>
      <c r="C1579" s="1" t="s">
        <v>521</v>
      </c>
      <c r="D1579" s="1" t="s">
        <v>5177</v>
      </c>
      <c r="E1579" s="1" t="s">
        <v>5150</v>
      </c>
      <c r="F1579" s="1" t="s">
        <v>524</v>
      </c>
      <c r="G1579" s="1">
        <v>37110</v>
      </c>
      <c r="H1579" s="1" t="s">
        <v>525</v>
      </c>
    </row>
    <row r="1580" spans="1:8" x14ac:dyDescent="0.35">
      <c r="A1580" s="1" t="s">
        <v>5178</v>
      </c>
      <c r="B1580" s="1" t="s">
        <v>5179</v>
      </c>
      <c r="C1580" s="1" t="s">
        <v>521</v>
      </c>
      <c r="D1580" s="1" t="s">
        <v>5180</v>
      </c>
      <c r="E1580" s="1" t="s">
        <v>5181</v>
      </c>
      <c r="F1580" s="1" t="s">
        <v>524</v>
      </c>
      <c r="G1580" s="1">
        <v>37615</v>
      </c>
      <c r="H1580" s="1" t="s">
        <v>525</v>
      </c>
    </row>
    <row r="1581" spans="1:8" x14ac:dyDescent="0.35">
      <c r="A1581" s="1" t="s">
        <v>5182</v>
      </c>
      <c r="B1581" s="1" t="s">
        <v>5183</v>
      </c>
      <c r="C1581" s="1" t="s">
        <v>521</v>
      </c>
      <c r="D1581" s="1" t="s">
        <v>5184</v>
      </c>
      <c r="E1581" s="1" t="s">
        <v>473</v>
      </c>
      <c r="F1581" s="1" t="s">
        <v>524</v>
      </c>
      <c r="G1581" s="1">
        <v>37601</v>
      </c>
      <c r="H1581" s="1" t="s">
        <v>525</v>
      </c>
    </row>
    <row r="1582" spans="1:8" x14ac:dyDescent="0.35">
      <c r="A1582" s="1" t="s">
        <v>467</v>
      </c>
      <c r="B1582" s="1" t="s">
        <v>5185</v>
      </c>
      <c r="C1582" s="1" t="s">
        <v>521</v>
      </c>
      <c r="D1582" s="1" t="s">
        <v>5186</v>
      </c>
      <c r="E1582" s="1" t="s">
        <v>5181</v>
      </c>
      <c r="F1582" s="1" t="s">
        <v>524</v>
      </c>
      <c r="G1582" s="1">
        <v>37615</v>
      </c>
      <c r="H1582" s="1" t="s">
        <v>525</v>
      </c>
    </row>
    <row r="1583" spans="1:8" x14ac:dyDescent="0.35">
      <c r="A1583" s="1" t="s">
        <v>469</v>
      </c>
      <c r="B1583" s="1" t="s">
        <v>5187</v>
      </c>
      <c r="C1583" s="1" t="s">
        <v>521</v>
      </c>
      <c r="D1583" s="1" t="s">
        <v>5188</v>
      </c>
      <c r="E1583" s="1" t="s">
        <v>5189</v>
      </c>
      <c r="F1583" s="1" t="s">
        <v>524</v>
      </c>
      <c r="G1583" s="1">
        <v>37659</v>
      </c>
      <c r="H1583" s="1" t="s">
        <v>525</v>
      </c>
    </row>
    <row r="1584" spans="1:8" x14ac:dyDescent="0.35">
      <c r="A1584" s="1" t="s">
        <v>5190</v>
      </c>
      <c r="B1584" s="1" t="s">
        <v>5191</v>
      </c>
      <c r="C1584" s="1" t="s">
        <v>521</v>
      </c>
      <c r="D1584" s="1" t="s">
        <v>5192</v>
      </c>
      <c r="E1584" s="1" t="s">
        <v>5193</v>
      </c>
      <c r="F1584" s="1" t="s">
        <v>524</v>
      </c>
      <c r="G1584" s="1">
        <v>37659</v>
      </c>
      <c r="H1584" s="1" t="s">
        <v>525</v>
      </c>
    </row>
    <row r="1585" spans="1:8" x14ac:dyDescent="0.35">
      <c r="A1585" s="1" t="s">
        <v>5194</v>
      </c>
      <c r="B1585" s="1" t="s">
        <v>5195</v>
      </c>
      <c r="C1585" s="1" t="s">
        <v>521</v>
      </c>
      <c r="D1585" s="1" t="s">
        <v>5196</v>
      </c>
      <c r="E1585" s="1" t="s">
        <v>5197</v>
      </c>
      <c r="F1585" s="1" t="s">
        <v>524</v>
      </c>
      <c r="G1585" s="1">
        <v>37690</v>
      </c>
      <c r="H1585" s="1" t="s">
        <v>525</v>
      </c>
    </row>
    <row r="1586" spans="1:8" x14ac:dyDescent="0.35">
      <c r="A1586" s="1" t="s">
        <v>5198</v>
      </c>
      <c r="B1586" s="1" t="s">
        <v>5199</v>
      </c>
      <c r="C1586" s="1" t="s">
        <v>521</v>
      </c>
      <c r="D1586" s="1" t="s">
        <v>5200</v>
      </c>
      <c r="E1586" s="1" t="s">
        <v>5181</v>
      </c>
      <c r="F1586" s="1" t="s">
        <v>524</v>
      </c>
      <c r="G1586" s="1">
        <v>37615</v>
      </c>
      <c r="H1586" s="1" t="s">
        <v>525</v>
      </c>
    </row>
    <row r="1587" spans="1:8" x14ac:dyDescent="0.35">
      <c r="A1587" s="1" t="s">
        <v>5201</v>
      </c>
      <c r="B1587" s="1" t="s">
        <v>5202</v>
      </c>
      <c r="C1587" s="1" t="s">
        <v>521</v>
      </c>
      <c r="D1587" s="1" t="s">
        <v>5203</v>
      </c>
      <c r="E1587" s="1" t="s">
        <v>5189</v>
      </c>
      <c r="F1587" s="1" t="s">
        <v>524</v>
      </c>
      <c r="G1587" s="1">
        <v>37659</v>
      </c>
      <c r="H1587" s="1" t="s">
        <v>525</v>
      </c>
    </row>
    <row r="1588" spans="1:8" x14ac:dyDescent="0.35">
      <c r="A1588" s="1" t="s">
        <v>5204</v>
      </c>
      <c r="B1588" s="1" t="s">
        <v>5205</v>
      </c>
      <c r="C1588" s="1" t="s">
        <v>521</v>
      </c>
      <c r="D1588" s="1" t="s">
        <v>5206</v>
      </c>
      <c r="E1588" s="1" t="s">
        <v>5189</v>
      </c>
      <c r="F1588" s="1" t="s">
        <v>524</v>
      </c>
      <c r="G1588" s="1">
        <v>37659</v>
      </c>
      <c r="H1588" s="1" t="s">
        <v>525</v>
      </c>
    </row>
    <row r="1589" spans="1:8" x14ac:dyDescent="0.35">
      <c r="A1589" s="1" t="s">
        <v>5207</v>
      </c>
      <c r="B1589" s="1" t="s">
        <v>5208</v>
      </c>
      <c r="C1589" s="1" t="s">
        <v>521</v>
      </c>
      <c r="D1589" s="1" t="s">
        <v>5209</v>
      </c>
      <c r="E1589" s="1" t="s">
        <v>5189</v>
      </c>
      <c r="F1589" s="1" t="s">
        <v>524</v>
      </c>
      <c r="G1589" s="1">
        <v>37659</v>
      </c>
      <c r="H1589" s="1" t="s">
        <v>525</v>
      </c>
    </row>
    <row r="1590" spans="1:8" x14ac:dyDescent="0.35">
      <c r="A1590" s="1" t="s">
        <v>5210</v>
      </c>
      <c r="B1590" s="1" t="s">
        <v>5211</v>
      </c>
      <c r="C1590" s="1" t="s">
        <v>521</v>
      </c>
      <c r="D1590" s="1" t="s">
        <v>5212</v>
      </c>
      <c r="E1590" s="1" t="s">
        <v>5181</v>
      </c>
      <c r="F1590" s="1" t="s">
        <v>524</v>
      </c>
      <c r="G1590" s="1">
        <v>37615</v>
      </c>
      <c r="H1590" s="1" t="s">
        <v>525</v>
      </c>
    </row>
    <row r="1591" spans="1:8" x14ac:dyDescent="0.35">
      <c r="A1591" s="1" t="s">
        <v>5213</v>
      </c>
      <c r="B1591" s="1" t="s">
        <v>5214</v>
      </c>
      <c r="C1591" s="1" t="s">
        <v>521</v>
      </c>
      <c r="D1591" s="1" t="s">
        <v>5215</v>
      </c>
      <c r="E1591" s="1" t="s">
        <v>2031</v>
      </c>
      <c r="F1591" s="1" t="s">
        <v>524</v>
      </c>
      <c r="G1591" s="1">
        <v>37641</v>
      </c>
      <c r="H1591" s="1" t="s">
        <v>525</v>
      </c>
    </row>
    <row r="1592" spans="1:8" x14ac:dyDescent="0.35">
      <c r="A1592" s="1" t="s">
        <v>5216</v>
      </c>
      <c r="B1592" s="1" t="s">
        <v>5217</v>
      </c>
      <c r="C1592" s="1" t="s">
        <v>521</v>
      </c>
      <c r="D1592" s="1" t="s">
        <v>5218</v>
      </c>
      <c r="E1592" s="1" t="s">
        <v>5189</v>
      </c>
      <c r="F1592" s="1" t="s">
        <v>524</v>
      </c>
      <c r="G1592" s="1">
        <v>37659</v>
      </c>
      <c r="H1592" s="1" t="s">
        <v>525</v>
      </c>
    </row>
    <row r="1593" spans="1:8" x14ac:dyDescent="0.35">
      <c r="A1593" s="1" t="s">
        <v>470</v>
      </c>
      <c r="B1593" s="1" t="s">
        <v>5219</v>
      </c>
      <c r="C1593" s="1" t="s">
        <v>521</v>
      </c>
      <c r="D1593" s="1" t="s">
        <v>5220</v>
      </c>
      <c r="E1593" s="1" t="s">
        <v>473</v>
      </c>
      <c r="F1593" s="1" t="s">
        <v>524</v>
      </c>
      <c r="G1593" s="1">
        <v>37614</v>
      </c>
      <c r="H1593" s="1" t="s">
        <v>525</v>
      </c>
    </row>
    <row r="1594" spans="1:8" x14ac:dyDescent="0.35">
      <c r="A1594" s="1" t="s">
        <v>5221</v>
      </c>
      <c r="B1594" s="1" t="s">
        <v>5222</v>
      </c>
      <c r="C1594" s="1" t="s">
        <v>521</v>
      </c>
      <c r="D1594" s="1" t="s">
        <v>5223</v>
      </c>
      <c r="E1594" s="1" t="s">
        <v>5224</v>
      </c>
      <c r="F1594" s="1" t="s">
        <v>524</v>
      </c>
      <c r="G1594" s="1">
        <v>37681</v>
      </c>
      <c r="H1594" s="1" t="s">
        <v>525</v>
      </c>
    </row>
    <row r="1595" spans="1:8" x14ac:dyDescent="0.35">
      <c r="A1595" s="1" t="s">
        <v>471</v>
      </c>
      <c r="B1595" s="1" t="s">
        <v>5225</v>
      </c>
      <c r="C1595" s="1" t="s">
        <v>521</v>
      </c>
      <c r="D1595" s="1" t="s">
        <v>5226</v>
      </c>
      <c r="E1595" s="1" t="s">
        <v>473</v>
      </c>
      <c r="F1595" s="1" t="s">
        <v>524</v>
      </c>
      <c r="G1595" s="1">
        <v>37604</v>
      </c>
      <c r="H1595" s="1" t="s">
        <v>525</v>
      </c>
    </row>
    <row r="1596" spans="1:8" x14ac:dyDescent="0.35">
      <c r="A1596" s="1" t="s">
        <v>5227</v>
      </c>
      <c r="B1596" s="1" t="s">
        <v>4221</v>
      </c>
      <c r="C1596" s="1" t="s">
        <v>521</v>
      </c>
      <c r="D1596" s="1" t="s">
        <v>5228</v>
      </c>
      <c r="E1596" s="1" t="s">
        <v>473</v>
      </c>
      <c r="F1596" s="1" t="s">
        <v>524</v>
      </c>
      <c r="G1596" s="1">
        <v>37604</v>
      </c>
      <c r="H1596" s="1" t="s">
        <v>525</v>
      </c>
    </row>
    <row r="1597" spans="1:8" x14ac:dyDescent="0.35">
      <c r="A1597" s="1" t="s">
        <v>5229</v>
      </c>
      <c r="B1597" s="1" t="s">
        <v>5230</v>
      </c>
      <c r="C1597" s="1" t="s">
        <v>521</v>
      </c>
      <c r="D1597" s="1" t="s">
        <v>5231</v>
      </c>
      <c r="E1597" s="1" t="s">
        <v>473</v>
      </c>
      <c r="F1597" s="1" t="s">
        <v>524</v>
      </c>
      <c r="G1597" s="1">
        <v>37601</v>
      </c>
      <c r="H1597" s="1" t="s">
        <v>525</v>
      </c>
    </row>
    <row r="1598" spans="1:8" x14ac:dyDescent="0.35">
      <c r="A1598" s="1" t="s">
        <v>5232</v>
      </c>
      <c r="B1598" s="1" t="s">
        <v>5233</v>
      </c>
      <c r="C1598" s="1" t="s">
        <v>521</v>
      </c>
      <c r="D1598" s="1" t="s">
        <v>5234</v>
      </c>
      <c r="E1598" s="1" t="s">
        <v>473</v>
      </c>
      <c r="F1598" s="1" t="s">
        <v>524</v>
      </c>
      <c r="G1598" s="1">
        <v>37601</v>
      </c>
      <c r="H1598" s="1" t="s">
        <v>525</v>
      </c>
    </row>
    <row r="1599" spans="1:8" x14ac:dyDescent="0.35">
      <c r="A1599" s="1" t="s">
        <v>5235</v>
      </c>
      <c r="B1599" s="1" t="s">
        <v>5236</v>
      </c>
      <c r="C1599" s="1" t="s">
        <v>521</v>
      </c>
      <c r="D1599" s="1" t="s">
        <v>5237</v>
      </c>
      <c r="E1599" s="1" t="s">
        <v>473</v>
      </c>
      <c r="F1599" s="1" t="s">
        <v>524</v>
      </c>
      <c r="G1599" s="1">
        <v>37601</v>
      </c>
      <c r="H1599" s="1" t="s">
        <v>525</v>
      </c>
    </row>
    <row r="1600" spans="1:8" x14ac:dyDescent="0.35">
      <c r="A1600" s="1" t="s">
        <v>5238</v>
      </c>
      <c r="B1600" s="1" t="s">
        <v>604</v>
      </c>
      <c r="C1600" s="1" t="s">
        <v>521</v>
      </c>
      <c r="D1600" s="1" t="s">
        <v>5239</v>
      </c>
      <c r="E1600" s="1" t="s">
        <v>473</v>
      </c>
      <c r="F1600" s="1" t="s">
        <v>524</v>
      </c>
      <c r="G1600" s="1">
        <v>37604</v>
      </c>
      <c r="H1600" s="1" t="s">
        <v>525</v>
      </c>
    </row>
    <row r="1601" spans="1:8" x14ac:dyDescent="0.35">
      <c r="A1601" s="1" t="s">
        <v>5240</v>
      </c>
      <c r="B1601" s="1" t="s">
        <v>5241</v>
      </c>
      <c r="C1601" s="1" t="s">
        <v>521</v>
      </c>
      <c r="D1601" s="1" t="s">
        <v>5242</v>
      </c>
      <c r="E1601" s="1" t="s">
        <v>473</v>
      </c>
      <c r="F1601" s="1" t="s">
        <v>524</v>
      </c>
      <c r="G1601" s="1">
        <v>37601</v>
      </c>
      <c r="H1601" s="1" t="s">
        <v>525</v>
      </c>
    </row>
    <row r="1602" spans="1:8" x14ac:dyDescent="0.35">
      <c r="A1602" s="1" t="s">
        <v>5243</v>
      </c>
      <c r="B1602" s="1" t="s">
        <v>3095</v>
      </c>
      <c r="C1602" s="1" t="s">
        <v>521</v>
      </c>
      <c r="D1602" s="1" t="s">
        <v>5244</v>
      </c>
      <c r="E1602" s="1" t="s">
        <v>473</v>
      </c>
      <c r="F1602" s="1" t="s">
        <v>524</v>
      </c>
      <c r="G1602" s="1">
        <v>37601</v>
      </c>
      <c r="H1602" s="1" t="s">
        <v>525</v>
      </c>
    </row>
    <row r="1603" spans="1:8" x14ac:dyDescent="0.35">
      <c r="A1603" s="1" t="s">
        <v>5245</v>
      </c>
      <c r="B1603" s="1" t="s">
        <v>5246</v>
      </c>
      <c r="C1603" s="1" t="s">
        <v>521</v>
      </c>
      <c r="D1603" s="1" t="s">
        <v>5247</v>
      </c>
      <c r="E1603" s="1" t="s">
        <v>473</v>
      </c>
      <c r="F1603" s="1" t="s">
        <v>524</v>
      </c>
      <c r="G1603" s="1">
        <v>37601</v>
      </c>
      <c r="H1603" s="1" t="s">
        <v>525</v>
      </c>
    </row>
    <row r="1604" spans="1:8" x14ac:dyDescent="0.35">
      <c r="A1604" s="1" t="s">
        <v>472</v>
      </c>
      <c r="B1604" s="1" t="s">
        <v>5248</v>
      </c>
      <c r="C1604" s="1" t="s">
        <v>521</v>
      </c>
      <c r="D1604" s="1" t="s">
        <v>5249</v>
      </c>
      <c r="E1604" s="1" t="s">
        <v>473</v>
      </c>
      <c r="F1604" s="1" t="s">
        <v>524</v>
      </c>
      <c r="G1604" s="1">
        <v>37604</v>
      </c>
      <c r="H1604" s="1" t="s">
        <v>525</v>
      </c>
    </row>
    <row r="1605" spans="1:8" x14ac:dyDescent="0.35">
      <c r="A1605" s="1" t="s">
        <v>5250</v>
      </c>
      <c r="B1605" s="1" t="s">
        <v>643</v>
      </c>
      <c r="C1605" s="1" t="s">
        <v>521</v>
      </c>
      <c r="D1605" s="1" t="s">
        <v>5251</v>
      </c>
      <c r="E1605" s="1" t="s">
        <v>473</v>
      </c>
      <c r="F1605" s="1" t="s">
        <v>524</v>
      </c>
      <c r="G1605" s="1">
        <v>37604</v>
      </c>
      <c r="H1605" s="1" t="s">
        <v>525</v>
      </c>
    </row>
    <row r="1606" spans="1:8" x14ac:dyDescent="0.35">
      <c r="A1606" s="1" t="s">
        <v>5252</v>
      </c>
      <c r="B1606" s="1" t="s">
        <v>5253</v>
      </c>
      <c r="C1606" s="1" t="s">
        <v>521</v>
      </c>
      <c r="D1606" s="1" t="s">
        <v>5254</v>
      </c>
      <c r="E1606" s="1" t="s">
        <v>473</v>
      </c>
      <c r="F1606" s="1" t="s">
        <v>524</v>
      </c>
      <c r="G1606" s="1">
        <v>37604</v>
      </c>
      <c r="H1606" s="1" t="s">
        <v>525</v>
      </c>
    </row>
    <row r="1607" spans="1:8" x14ac:dyDescent="0.35">
      <c r="A1607" s="1" t="s">
        <v>5255</v>
      </c>
      <c r="B1607" s="1" t="s">
        <v>5256</v>
      </c>
      <c r="C1607" s="1" t="s">
        <v>521</v>
      </c>
      <c r="D1607" s="1" t="s">
        <v>5257</v>
      </c>
      <c r="E1607" s="1" t="s">
        <v>5258</v>
      </c>
      <c r="F1607" s="1" t="s">
        <v>524</v>
      </c>
      <c r="G1607" s="1">
        <v>38450</v>
      </c>
      <c r="H1607" s="1" t="s">
        <v>525</v>
      </c>
    </row>
    <row r="1608" spans="1:8" x14ac:dyDescent="0.35">
      <c r="A1608" s="1" t="s">
        <v>474</v>
      </c>
      <c r="B1608" s="1" t="s">
        <v>5259</v>
      </c>
      <c r="C1608" s="1" t="s">
        <v>521</v>
      </c>
      <c r="D1608" s="1" t="s">
        <v>5260</v>
      </c>
      <c r="E1608" s="1" t="s">
        <v>5258</v>
      </c>
      <c r="F1608" s="1" t="s">
        <v>524</v>
      </c>
      <c r="G1608" s="1">
        <v>38450</v>
      </c>
      <c r="H1608" s="1" t="s">
        <v>525</v>
      </c>
    </row>
    <row r="1609" spans="1:8" x14ac:dyDescent="0.35">
      <c r="A1609" s="1" t="s">
        <v>5261</v>
      </c>
      <c r="B1609" s="1" t="s">
        <v>5262</v>
      </c>
      <c r="C1609" s="1" t="s">
        <v>521</v>
      </c>
      <c r="D1609" s="1" t="s">
        <v>5263</v>
      </c>
      <c r="E1609" s="1" t="s">
        <v>5258</v>
      </c>
      <c r="F1609" s="1" t="s">
        <v>524</v>
      </c>
      <c r="G1609" s="1">
        <v>38450</v>
      </c>
      <c r="H1609" s="1" t="s">
        <v>525</v>
      </c>
    </row>
    <row r="1610" spans="1:8" x14ac:dyDescent="0.35">
      <c r="A1610" s="1" t="s">
        <v>476</v>
      </c>
      <c r="B1610" s="1" t="s">
        <v>5264</v>
      </c>
      <c r="C1610" s="1" t="s">
        <v>521</v>
      </c>
      <c r="D1610" s="1" t="s">
        <v>5265</v>
      </c>
      <c r="E1610" s="1" t="s">
        <v>5266</v>
      </c>
      <c r="F1610" s="1" t="s">
        <v>524</v>
      </c>
      <c r="G1610" s="1">
        <v>38425</v>
      </c>
      <c r="H1610" s="1" t="s">
        <v>525</v>
      </c>
    </row>
    <row r="1611" spans="1:8" x14ac:dyDescent="0.35">
      <c r="A1611" s="1" t="s">
        <v>477</v>
      </c>
      <c r="B1611" s="1" t="s">
        <v>5267</v>
      </c>
      <c r="C1611" s="1" t="s">
        <v>521</v>
      </c>
      <c r="D1611" s="1" t="s">
        <v>5268</v>
      </c>
      <c r="E1611" s="1" t="s">
        <v>5269</v>
      </c>
      <c r="F1611" s="1" t="s">
        <v>524</v>
      </c>
      <c r="G1611" s="1">
        <v>38485</v>
      </c>
      <c r="H1611" s="1" t="s">
        <v>525</v>
      </c>
    </row>
    <row r="1612" spans="1:8" x14ac:dyDescent="0.35">
      <c r="A1612" s="1" t="s">
        <v>5270</v>
      </c>
      <c r="B1612" s="1" t="s">
        <v>5271</v>
      </c>
      <c r="C1612" s="1" t="s">
        <v>521</v>
      </c>
      <c r="D1612" s="1" t="s">
        <v>5272</v>
      </c>
      <c r="E1612" s="1" t="s">
        <v>5269</v>
      </c>
      <c r="F1612" s="1" t="s">
        <v>524</v>
      </c>
      <c r="G1612" s="1">
        <v>38485</v>
      </c>
      <c r="H1612" s="1" t="s">
        <v>525</v>
      </c>
    </row>
    <row r="1613" spans="1:8" x14ac:dyDescent="0.35">
      <c r="A1613" s="1" t="s">
        <v>5273</v>
      </c>
      <c r="B1613" s="1" t="s">
        <v>5274</v>
      </c>
      <c r="C1613" s="1" t="s">
        <v>521</v>
      </c>
      <c r="D1613" s="1" t="s">
        <v>5275</v>
      </c>
      <c r="E1613" s="1" t="s">
        <v>5269</v>
      </c>
      <c r="F1613" s="1" t="s">
        <v>524</v>
      </c>
      <c r="G1613" s="1">
        <v>38485</v>
      </c>
      <c r="H1613" s="1" t="s">
        <v>525</v>
      </c>
    </row>
    <row r="1614" spans="1:8" x14ac:dyDescent="0.35">
      <c r="A1614" s="1" t="s">
        <v>5276</v>
      </c>
      <c r="B1614" s="1" t="s">
        <v>5277</v>
      </c>
      <c r="C1614" s="1" t="s">
        <v>521</v>
      </c>
      <c r="D1614" s="1" t="s">
        <v>5278</v>
      </c>
      <c r="E1614" s="1" t="s">
        <v>5279</v>
      </c>
      <c r="F1614" s="1" t="s">
        <v>524</v>
      </c>
      <c r="G1614" s="1">
        <v>38225</v>
      </c>
      <c r="H1614" s="1" t="s">
        <v>525</v>
      </c>
    </row>
    <row r="1615" spans="1:8" x14ac:dyDescent="0.35">
      <c r="A1615" s="1" t="s">
        <v>5280</v>
      </c>
      <c r="B1615" s="1" t="s">
        <v>5281</v>
      </c>
      <c r="C1615" s="1" t="s">
        <v>521</v>
      </c>
      <c r="D1615" s="1" t="s">
        <v>5282</v>
      </c>
      <c r="E1615" s="1" t="s">
        <v>5279</v>
      </c>
      <c r="F1615" s="1" t="s">
        <v>524</v>
      </c>
      <c r="G1615" s="1">
        <v>38225</v>
      </c>
      <c r="H1615" s="1" t="s">
        <v>525</v>
      </c>
    </row>
    <row r="1616" spans="1:8" x14ac:dyDescent="0.35">
      <c r="A1616" s="1" t="s">
        <v>478</v>
      </c>
      <c r="B1616" s="1" t="s">
        <v>5283</v>
      </c>
      <c r="C1616" s="1" t="s">
        <v>521</v>
      </c>
      <c r="D1616" s="1" t="s">
        <v>5284</v>
      </c>
      <c r="E1616" s="1" t="s">
        <v>5279</v>
      </c>
      <c r="F1616" s="1" t="s">
        <v>524</v>
      </c>
      <c r="G1616" s="1">
        <v>38225</v>
      </c>
      <c r="H1616" s="1" t="s">
        <v>525</v>
      </c>
    </row>
    <row r="1617" spans="1:8" x14ac:dyDescent="0.35">
      <c r="A1617" s="1" t="s">
        <v>480</v>
      </c>
      <c r="B1617" s="1" t="s">
        <v>5285</v>
      </c>
      <c r="C1617" s="1" t="s">
        <v>521</v>
      </c>
      <c r="D1617" s="1" t="s">
        <v>5286</v>
      </c>
      <c r="E1617" s="1" t="s">
        <v>5287</v>
      </c>
      <c r="F1617" s="1" t="s">
        <v>524</v>
      </c>
      <c r="G1617" s="1">
        <v>38229</v>
      </c>
      <c r="H1617" s="1" t="s">
        <v>525</v>
      </c>
    </row>
    <row r="1618" spans="1:8" x14ac:dyDescent="0.35">
      <c r="A1618" s="1" t="s">
        <v>481</v>
      </c>
      <c r="B1618" s="1" t="s">
        <v>5288</v>
      </c>
      <c r="C1618" s="1" t="s">
        <v>521</v>
      </c>
      <c r="D1618" s="1" t="s">
        <v>5289</v>
      </c>
      <c r="E1618" s="1" t="s">
        <v>5290</v>
      </c>
      <c r="F1618" s="1" t="s">
        <v>524</v>
      </c>
      <c r="G1618" s="1">
        <v>38230</v>
      </c>
      <c r="H1618" s="1" t="s">
        <v>525</v>
      </c>
    </row>
    <row r="1619" spans="1:8" x14ac:dyDescent="0.35">
      <c r="A1619" s="1" t="s">
        <v>5291</v>
      </c>
      <c r="B1619" s="1" t="s">
        <v>5292</v>
      </c>
      <c r="C1619" s="1" t="s">
        <v>521</v>
      </c>
      <c r="D1619" s="1" t="s">
        <v>5293</v>
      </c>
      <c r="E1619" s="1" t="s">
        <v>5294</v>
      </c>
      <c r="F1619" s="1" t="s">
        <v>524</v>
      </c>
      <c r="G1619" s="1">
        <v>38237</v>
      </c>
      <c r="H1619" s="1" t="s">
        <v>525</v>
      </c>
    </row>
    <row r="1620" spans="1:8" x14ac:dyDescent="0.35">
      <c r="A1620" s="1" t="s">
        <v>5295</v>
      </c>
      <c r="B1620" s="1" t="s">
        <v>5296</v>
      </c>
      <c r="C1620" s="1" t="s">
        <v>521</v>
      </c>
      <c r="D1620" s="1" t="s">
        <v>5297</v>
      </c>
      <c r="E1620" s="1" t="s">
        <v>5294</v>
      </c>
      <c r="F1620" s="1" t="s">
        <v>524</v>
      </c>
      <c r="G1620" s="1">
        <v>38237</v>
      </c>
      <c r="H1620" s="1" t="s">
        <v>525</v>
      </c>
    </row>
    <row r="1621" spans="1:8" x14ac:dyDescent="0.35">
      <c r="A1621" s="1" t="s">
        <v>482</v>
      </c>
      <c r="B1621" s="1" t="s">
        <v>5298</v>
      </c>
      <c r="C1621" s="1" t="s">
        <v>521</v>
      </c>
      <c r="D1621" s="1" t="s">
        <v>5299</v>
      </c>
      <c r="E1621" s="1" t="s">
        <v>5294</v>
      </c>
      <c r="F1621" s="1" t="s">
        <v>524</v>
      </c>
      <c r="G1621" s="1">
        <v>38237</v>
      </c>
      <c r="H1621" s="1" t="s">
        <v>525</v>
      </c>
    </row>
    <row r="1622" spans="1:8" x14ac:dyDescent="0.35">
      <c r="A1622" s="1" t="s">
        <v>5300</v>
      </c>
      <c r="B1622" s="1" t="s">
        <v>5301</v>
      </c>
      <c r="C1622" s="1" t="s">
        <v>521</v>
      </c>
      <c r="D1622" s="1" t="s">
        <v>5302</v>
      </c>
      <c r="E1622" s="1" t="s">
        <v>5294</v>
      </c>
      <c r="F1622" s="1" t="s">
        <v>524</v>
      </c>
      <c r="G1622" s="1">
        <v>38237</v>
      </c>
      <c r="H1622" s="1" t="s">
        <v>525</v>
      </c>
    </row>
    <row r="1623" spans="1:8" x14ac:dyDescent="0.35">
      <c r="A1623" s="1" t="s">
        <v>5303</v>
      </c>
      <c r="B1623" s="1" t="s">
        <v>5304</v>
      </c>
      <c r="C1623" s="1" t="s">
        <v>521</v>
      </c>
      <c r="D1623" s="1" t="s">
        <v>5305</v>
      </c>
      <c r="E1623" s="1" t="s">
        <v>5306</v>
      </c>
      <c r="F1623" s="1" t="s">
        <v>524</v>
      </c>
      <c r="G1623" s="1">
        <v>38255</v>
      </c>
      <c r="H1623" s="1" t="s">
        <v>525</v>
      </c>
    </row>
    <row r="1624" spans="1:8" x14ac:dyDescent="0.35">
      <c r="A1624" s="1" t="s">
        <v>5307</v>
      </c>
      <c r="B1624" s="1" t="s">
        <v>5308</v>
      </c>
      <c r="C1624" s="1" t="s">
        <v>521</v>
      </c>
      <c r="D1624" s="1" t="s">
        <v>5309</v>
      </c>
      <c r="E1624" s="1" t="s">
        <v>5310</v>
      </c>
      <c r="F1624" s="1" t="s">
        <v>524</v>
      </c>
      <c r="G1624" s="1">
        <v>38583</v>
      </c>
      <c r="H1624" s="1" t="s">
        <v>525</v>
      </c>
    </row>
    <row r="1625" spans="1:8" x14ac:dyDescent="0.35">
      <c r="A1625" s="1" t="s">
        <v>5311</v>
      </c>
      <c r="B1625" s="1" t="s">
        <v>5312</v>
      </c>
      <c r="C1625" s="1" t="s">
        <v>521</v>
      </c>
      <c r="D1625" s="1" t="s">
        <v>5313</v>
      </c>
      <c r="E1625" s="1" t="s">
        <v>5310</v>
      </c>
      <c r="F1625" s="1" t="s">
        <v>524</v>
      </c>
      <c r="G1625" s="1">
        <v>38583</v>
      </c>
      <c r="H1625" s="1" t="s">
        <v>525</v>
      </c>
    </row>
    <row r="1626" spans="1:8" x14ac:dyDescent="0.35">
      <c r="A1626" s="1" t="s">
        <v>5314</v>
      </c>
      <c r="B1626" s="1" t="s">
        <v>5315</v>
      </c>
      <c r="C1626" s="1" t="s">
        <v>521</v>
      </c>
      <c r="D1626" s="1" t="s">
        <v>5316</v>
      </c>
      <c r="E1626" s="1" t="s">
        <v>5317</v>
      </c>
      <c r="F1626" s="1" t="s">
        <v>524</v>
      </c>
      <c r="G1626" s="1">
        <v>38587</v>
      </c>
      <c r="H1626" s="1" t="s">
        <v>525</v>
      </c>
    </row>
    <row r="1627" spans="1:8" x14ac:dyDescent="0.35">
      <c r="A1627" s="1" t="s">
        <v>5318</v>
      </c>
      <c r="B1627" s="1" t="s">
        <v>5319</v>
      </c>
      <c r="C1627" s="1" t="s">
        <v>521</v>
      </c>
      <c r="D1627" s="1" t="s">
        <v>5320</v>
      </c>
      <c r="E1627" s="1" t="s">
        <v>5321</v>
      </c>
      <c r="F1627" s="1" t="s">
        <v>524</v>
      </c>
      <c r="G1627" s="1">
        <v>38559</v>
      </c>
      <c r="H1627" s="1" t="s">
        <v>525</v>
      </c>
    </row>
    <row r="1628" spans="1:8" x14ac:dyDescent="0.35">
      <c r="A1628" s="1" t="s">
        <v>5322</v>
      </c>
      <c r="B1628" s="1" t="s">
        <v>5323</v>
      </c>
      <c r="C1628" s="1" t="s">
        <v>521</v>
      </c>
      <c r="D1628" s="1" t="s">
        <v>5324</v>
      </c>
      <c r="E1628" s="1" t="s">
        <v>5310</v>
      </c>
      <c r="F1628" s="1" t="s">
        <v>524</v>
      </c>
      <c r="G1628" s="1">
        <v>38583</v>
      </c>
      <c r="H1628" s="1" t="s">
        <v>525</v>
      </c>
    </row>
    <row r="1629" spans="1:8" x14ac:dyDescent="0.35">
      <c r="A1629" s="1" t="s">
        <v>5325</v>
      </c>
      <c r="B1629" s="1" t="s">
        <v>5326</v>
      </c>
      <c r="C1629" s="1" t="s">
        <v>521</v>
      </c>
      <c r="D1629" s="1" t="s">
        <v>5327</v>
      </c>
      <c r="E1629" s="1" t="s">
        <v>5310</v>
      </c>
      <c r="F1629" s="1" t="s">
        <v>524</v>
      </c>
      <c r="G1629" s="1">
        <v>38583</v>
      </c>
      <c r="H1629" s="1" t="s">
        <v>525</v>
      </c>
    </row>
    <row r="1630" spans="1:8" x14ac:dyDescent="0.35">
      <c r="A1630" s="1" t="s">
        <v>483</v>
      </c>
      <c r="B1630" s="1" t="s">
        <v>5328</v>
      </c>
      <c r="C1630" s="1" t="s">
        <v>521</v>
      </c>
      <c r="D1630" s="1" t="s">
        <v>5329</v>
      </c>
      <c r="E1630" s="1" t="s">
        <v>5310</v>
      </c>
      <c r="F1630" s="1" t="s">
        <v>524</v>
      </c>
      <c r="G1630" s="1">
        <v>38583</v>
      </c>
      <c r="H1630" s="1" t="s">
        <v>525</v>
      </c>
    </row>
    <row r="1631" spans="1:8" x14ac:dyDescent="0.35">
      <c r="A1631" s="1" t="s">
        <v>5330</v>
      </c>
      <c r="B1631" s="1" t="s">
        <v>5331</v>
      </c>
      <c r="C1631" s="1" t="s">
        <v>521</v>
      </c>
      <c r="D1631" s="1" t="s">
        <v>5332</v>
      </c>
      <c r="E1631" s="1" t="s">
        <v>5310</v>
      </c>
      <c r="F1631" s="1" t="s">
        <v>524</v>
      </c>
      <c r="G1631" s="1">
        <v>38583</v>
      </c>
      <c r="H1631" s="1" t="s">
        <v>525</v>
      </c>
    </row>
    <row r="1632" spans="1:8" x14ac:dyDescent="0.35">
      <c r="A1632" s="1" t="s">
        <v>5333</v>
      </c>
      <c r="B1632" s="1" t="s">
        <v>5334</v>
      </c>
      <c r="C1632" s="1" t="s">
        <v>521</v>
      </c>
      <c r="D1632" s="1" t="s">
        <v>5335</v>
      </c>
      <c r="E1632" s="1" t="s">
        <v>5310</v>
      </c>
      <c r="F1632" s="1" t="s">
        <v>524</v>
      </c>
      <c r="G1632" s="1">
        <v>38583</v>
      </c>
      <c r="H1632" s="1" t="s">
        <v>525</v>
      </c>
    </row>
    <row r="1633" spans="1:8" x14ac:dyDescent="0.35">
      <c r="A1633" s="1" t="s">
        <v>5336</v>
      </c>
      <c r="B1633" s="1" t="s">
        <v>5337</v>
      </c>
      <c r="C1633" s="1" t="s">
        <v>521</v>
      </c>
      <c r="D1633" s="1" t="s">
        <v>5338</v>
      </c>
      <c r="E1633" s="1" t="s">
        <v>3326</v>
      </c>
      <c r="F1633" s="1" t="s">
        <v>524</v>
      </c>
      <c r="G1633" s="1">
        <v>37174</v>
      </c>
      <c r="H1633" s="1" t="s">
        <v>525</v>
      </c>
    </row>
    <row r="1634" spans="1:8" x14ac:dyDescent="0.35">
      <c r="A1634" s="1" t="s">
        <v>5339</v>
      </c>
      <c r="B1634" s="1" t="s">
        <v>5340</v>
      </c>
      <c r="C1634" s="1" t="s">
        <v>521</v>
      </c>
      <c r="D1634" s="1" t="s">
        <v>5341</v>
      </c>
      <c r="E1634" s="1" t="s">
        <v>5342</v>
      </c>
      <c r="F1634" s="1" t="s">
        <v>524</v>
      </c>
      <c r="G1634" s="1">
        <v>37179</v>
      </c>
      <c r="H1634" s="1" t="s">
        <v>525</v>
      </c>
    </row>
    <row r="1635" spans="1:8" x14ac:dyDescent="0.35">
      <c r="A1635" s="1" t="s">
        <v>485</v>
      </c>
      <c r="B1635" s="1" t="s">
        <v>5343</v>
      </c>
      <c r="C1635" s="1" t="s">
        <v>521</v>
      </c>
      <c r="D1635" s="1" t="s">
        <v>5344</v>
      </c>
      <c r="E1635" s="1" t="s">
        <v>1402</v>
      </c>
      <c r="F1635" s="1" t="s">
        <v>524</v>
      </c>
      <c r="G1635" s="1">
        <v>37027</v>
      </c>
      <c r="H1635" s="1" t="s">
        <v>525</v>
      </c>
    </row>
    <row r="1636" spans="1:8" x14ac:dyDescent="0.35">
      <c r="A1636" s="1" t="s">
        <v>487</v>
      </c>
      <c r="B1636" s="1" t="s">
        <v>5345</v>
      </c>
      <c r="C1636" s="1" t="s">
        <v>521</v>
      </c>
      <c r="D1636" s="1" t="s">
        <v>5346</v>
      </c>
      <c r="E1636" s="1" t="s">
        <v>5347</v>
      </c>
      <c r="F1636" s="1" t="s">
        <v>524</v>
      </c>
      <c r="G1636" s="1">
        <v>37067</v>
      </c>
      <c r="H1636" s="1" t="s">
        <v>525</v>
      </c>
    </row>
    <row r="1637" spans="1:8" x14ac:dyDescent="0.35">
      <c r="A1637" s="1" t="s">
        <v>5348</v>
      </c>
      <c r="B1637" s="1" t="s">
        <v>5349</v>
      </c>
      <c r="C1637" s="1" t="s">
        <v>521</v>
      </c>
      <c r="D1637" s="1" t="s">
        <v>5350</v>
      </c>
      <c r="E1637" s="1" t="s">
        <v>5351</v>
      </c>
      <c r="F1637" s="1" t="s">
        <v>524</v>
      </c>
      <c r="G1637" s="1">
        <v>37046</v>
      </c>
      <c r="H1637" s="1" t="s">
        <v>525</v>
      </c>
    </row>
    <row r="1638" spans="1:8" x14ac:dyDescent="0.35">
      <c r="A1638" s="1" t="s">
        <v>5352</v>
      </c>
      <c r="B1638" s="1" t="s">
        <v>5353</v>
      </c>
      <c r="C1638" s="1" t="s">
        <v>521</v>
      </c>
      <c r="D1638" s="1" t="s">
        <v>5354</v>
      </c>
      <c r="E1638" s="1" t="s">
        <v>5347</v>
      </c>
      <c r="F1638" s="1" t="s">
        <v>524</v>
      </c>
      <c r="G1638" s="1">
        <v>37067</v>
      </c>
      <c r="H1638" s="1" t="s">
        <v>525</v>
      </c>
    </row>
    <row r="1639" spans="1:8" x14ac:dyDescent="0.35">
      <c r="A1639" s="1" t="s">
        <v>5355</v>
      </c>
      <c r="B1639" s="1" t="s">
        <v>5356</v>
      </c>
      <c r="C1639" s="1" t="s">
        <v>521</v>
      </c>
      <c r="D1639" s="1" t="s">
        <v>5357</v>
      </c>
      <c r="E1639" s="1" t="s">
        <v>3326</v>
      </c>
      <c r="F1639" s="1" t="s">
        <v>524</v>
      </c>
      <c r="G1639" s="1">
        <v>37174</v>
      </c>
      <c r="H1639" s="1" t="s">
        <v>525</v>
      </c>
    </row>
    <row r="1640" spans="1:8" x14ac:dyDescent="0.35">
      <c r="A1640" s="1" t="s">
        <v>5358</v>
      </c>
      <c r="B1640" s="1" t="s">
        <v>5359</v>
      </c>
      <c r="C1640" s="1" t="s">
        <v>521</v>
      </c>
      <c r="D1640" s="1" t="s">
        <v>5360</v>
      </c>
      <c r="E1640" s="1" t="s">
        <v>1402</v>
      </c>
      <c r="F1640" s="1" t="s">
        <v>524</v>
      </c>
      <c r="G1640" s="1">
        <v>37027</v>
      </c>
      <c r="H1640" s="1" t="s">
        <v>525</v>
      </c>
    </row>
    <row r="1641" spans="1:8" x14ac:dyDescent="0.35">
      <c r="A1641" s="1" t="s">
        <v>5361</v>
      </c>
      <c r="B1641" s="1" t="s">
        <v>5362</v>
      </c>
      <c r="C1641" s="1" t="s">
        <v>521</v>
      </c>
      <c r="D1641" s="1" t="s">
        <v>5363</v>
      </c>
      <c r="E1641" s="1" t="s">
        <v>1402</v>
      </c>
      <c r="F1641" s="1" t="s">
        <v>524</v>
      </c>
      <c r="G1641" s="1">
        <v>37027</v>
      </c>
      <c r="H1641" s="1" t="s">
        <v>525</v>
      </c>
    </row>
    <row r="1642" spans="1:8" x14ac:dyDescent="0.35">
      <c r="A1642" s="1" t="s">
        <v>5364</v>
      </c>
      <c r="B1642" s="1" t="s">
        <v>547</v>
      </c>
      <c r="C1642" s="1" t="s">
        <v>521</v>
      </c>
      <c r="D1642" s="1" t="s">
        <v>5365</v>
      </c>
      <c r="E1642" s="1" t="s">
        <v>5366</v>
      </c>
      <c r="F1642" s="1" t="s">
        <v>524</v>
      </c>
      <c r="G1642" s="1">
        <v>37062</v>
      </c>
      <c r="H1642" s="1" t="s">
        <v>525</v>
      </c>
    </row>
    <row r="1643" spans="1:8" x14ac:dyDescent="0.35">
      <c r="A1643" s="1" t="s">
        <v>5367</v>
      </c>
      <c r="B1643" s="1" t="s">
        <v>5368</v>
      </c>
      <c r="C1643" s="1" t="s">
        <v>521</v>
      </c>
      <c r="D1643" s="1" t="s">
        <v>5369</v>
      </c>
      <c r="E1643" s="1" t="s">
        <v>5366</v>
      </c>
      <c r="F1643" s="1" t="s">
        <v>524</v>
      </c>
      <c r="G1643" s="1">
        <v>37062</v>
      </c>
      <c r="H1643" s="1" t="s">
        <v>525</v>
      </c>
    </row>
    <row r="1644" spans="1:8" x14ac:dyDescent="0.35">
      <c r="A1644" s="1" t="s">
        <v>488</v>
      </c>
      <c r="B1644" s="1" t="s">
        <v>5370</v>
      </c>
      <c r="C1644" s="1" t="s">
        <v>521</v>
      </c>
      <c r="D1644" s="1" t="s">
        <v>5371</v>
      </c>
      <c r="E1644" s="1" t="s">
        <v>5366</v>
      </c>
      <c r="F1644" s="1" t="s">
        <v>524</v>
      </c>
      <c r="G1644" s="1">
        <v>37062</v>
      </c>
      <c r="H1644" s="1" t="s">
        <v>525</v>
      </c>
    </row>
    <row r="1645" spans="1:8" x14ac:dyDescent="0.35">
      <c r="A1645" s="1" t="s">
        <v>489</v>
      </c>
      <c r="B1645" s="1" t="s">
        <v>5372</v>
      </c>
      <c r="C1645" s="1" t="s">
        <v>521</v>
      </c>
      <c r="D1645" s="1" t="s">
        <v>5373</v>
      </c>
      <c r="E1645" s="1" t="s">
        <v>5347</v>
      </c>
      <c r="F1645" s="1" t="s">
        <v>524</v>
      </c>
      <c r="G1645" s="1">
        <v>37064</v>
      </c>
      <c r="H1645" s="1" t="s">
        <v>525</v>
      </c>
    </row>
    <row r="1646" spans="1:8" x14ac:dyDescent="0.35">
      <c r="A1646" s="1" t="s">
        <v>5374</v>
      </c>
      <c r="B1646" s="1" t="s">
        <v>5375</v>
      </c>
      <c r="C1646" s="1" t="s">
        <v>521</v>
      </c>
      <c r="D1646" s="1" t="s">
        <v>5376</v>
      </c>
      <c r="E1646" s="1" t="s">
        <v>5347</v>
      </c>
      <c r="F1646" s="1" t="s">
        <v>524</v>
      </c>
      <c r="G1646" s="1">
        <v>37064</v>
      </c>
      <c r="H1646" s="1" t="s">
        <v>525</v>
      </c>
    </row>
    <row r="1647" spans="1:8" x14ac:dyDescent="0.35">
      <c r="A1647" s="1" t="s">
        <v>490</v>
      </c>
      <c r="B1647" s="1" t="s">
        <v>5377</v>
      </c>
      <c r="C1647" s="1" t="s">
        <v>521</v>
      </c>
      <c r="D1647" s="1" t="s">
        <v>5378</v>
      </c>
      <c r="E1647" s="1" t="s">
        <v>5347</v>
      </c>
      <c r="F1647" s="1" t="s">
        <v>524</v>
      </c>
      <c r="G1647" s="1">
        <v>37064</v>
      </c>
      <c r="H1647" s="1" t="s">
        <v>525</v>
      </c>
    </row>
    <row r="1648" spans="1:8" x14ac:dyDescent="0.35">
      <c r="A1648" s="1" t="s">
        <v>5379</v>
      </c>
      <c r="B1648" s="1" t="s">
        <v>5380</v>
      </c>
      <c r="C1648" s="1" t="s">
        <v>521</v>
      </c>
      <c r="D1648" s="1" t="s">
        <v>5381</v>
      </c>
      <c r="E1648" s="1" t="s">
        <v>1402</v>
      </c>
      <c r="F1648" s="1" t="s">
        <v>524</v>
      </c>
      <c r="G1648" s="1">
        <v>37027</v>
      </c>
      <c r="H1648" s="1" t="s">
        <v>525</v>
      </c>
    </row>
    <row r="1649" spans="1:8" x14ac:dyDescent="0.35">
      <c r="A1649" s="1" t="s">
        <v>5382</v>
      </c>
      <c r="B1649" s="1" t="s">
        <v>5383</v>
      </c>
      <c r="C1649" s="1" t="s">
        <v>521</v>
      </c>
      <c r="D1649" s="1" t="s">
        <v>5384</v>
      </c>
      <c r="E1649" s="1" t="s">
        <v>5347</v>
      </c>
      <c r="F1649" s="1" t="s">
        <v>524</v>
      </c>
      <c r="G1649" s="1">
        <v>37064</v>
      </c>
      <c r="H1649" s="1" t="s">
        <v>525</v>
      </c>
    </row>
    <row r="1650" spans="1:8" x14ac:dyDescent="0.35">
      <c r="A1650" s="1" t="s">
        <v>5385</v>
      </c>
      <c r="B1650" s="1" t="s">
        <v>5386</v>
      </c>
      <c r="C1650" s="1" t="s">
        <v>521</v>
      </c>
      <c r="D1650" s="1" t="s">
        <v>5387</v>
      </c>
      <c r="E1650" s="1" t="s">
        <v>5342</v>
      </c>
      <c r="F1650" s="1" t="s">
        <v>524</v>
      </c>
      <c r="G1650" s="1">
        <v>37179</v>
      </c>
      <c r="H1650" s="1" t="s">
        <v>525</v>
      </c>
    </row>
    <row r="1651" spans="1:8" x14ac:dyDescent="0.35">
      <c r="A1651" s="1" t="s">
        <v>5388</v>
      </c>
      <c r="B1651" s="1" t="s">
        <v>701</v>
      </c>
      <c r="C1651" s="1" t="s">
        <v>521</v>
      </c>
      <c r="D1651" s="1" t="s">
        <v>5389</v>
      </c>
      <c r="E1651" s="1" t="s">
        <v>5342</v>
      </c>
      <c r="F1651" s="1" t="s">
        <v>524</v>
      </c>
      <c r="G1651" s="1">
        <v>37179</v>
      </c>
      <c r="H1651" s="1" t="s">
        <v>525</v>
      </c>
    </row>
    <row r="1652" spans="1:8" x14ac:dyDescent="0.35">
      <c r="A1652" s="1" t="s">
        <v>5390</v>
      </c>
      <c r="B1652" s="1" t="s">
        <v>5391</v>
      </c>
      <c r="C1652" s="1" t="s">
        <v>521</v>
      </c>
      <c r="D1652" s="1" t="s">
        <v>5392</v>
      </c>
      <c r="E1652" s="1" t="s">
        <v>5347</v>
      </c>
      <c r="F1652" s="1" t="s">
        <v>524</v>
      </c>
      <c r="G1652" s="1">
        <v>37064</v>
      </c>
      <c r="H1652" s="1" t="s">
        <v>525</v>
      </c>
    </row>
    <row r="1653" spans="1:8" x14ac:dyDescent="0.35">
      <c r="A1653" s="1" t="s">
        <v>491</v>
      </c>
      <c r="B1653" s="1" t="s">
        <v>5393</v>
      </c>
      <c r="C1653" s="1" t="s">
        <v>521</v>
      </c>
      <c r="D1653" s="1" t="s">
        <v>5394</v>
      </c>
      <c r="E1653" s="1" t="s">
        <v>5395</v>
      </c>
      <c r="F1653" s="1" t="s">
        <v>524</v>
      </c>
      <c r="G1653" s="1">
        <v>37179</v>
      </c>
      <c r="H1653" s="1" t="s">
        <v>525</v>
      </c>
    </row>
    <row r="1654" spans="1:8" x14ac:dyDescent="0.35">
      <c r="A1654" s="1" t="s">
        <v>5396</v>
      </c>
      <c r="B1654" s="1" t="s">
        <v>5397</v>
      </c>
      <c r="C1654" s="1" t="s">
        <v>521</v>
      </c>
      <c r="D1654" s="1" t="s">
        <v>5398</v>
      </c>
      <c r="E1654" s="1" t="s">
        <v>3326</v>
      </c>
      <c r="F1654" s="1" t="s">
        <v>524</v>
      </c>
      <c r="G1654" s="1">
        <v>37174</v>
      </c>
      <c r="H1654" s="1" t="s">
        <v>525</v>
      </c>
    </row>
    <row r="1655" spans="1:8" x14ac:dyDescent="0.35">
      <c r="A1655" s="1" t="s">
        <v>5399</v>
      </c>
      <c r="B1655" s="1" t="s">
        <v>5400</v>
      </c>
      <c r="C1655" s="1" t="s">
        <v>521</v>
      </c>
      <c r="D1655" s="1" t="s">
        <v>5401</v>
      </c>
      <c r="E1655" s="1" t="s">
        <v>5347</v>
      </c>
      <c r="F1655" s="1" t="s">
        <v>524</v>
      </c>
      <c r="G1655" s="1">
        <v>37069</v>
      </c>
      <c r="H1655" s="1" t="s">
        <v>525</v>
      </c>
    </row>
    <row r="1656" spans="1:8" x14ac:dyDescent="0.35">
      <c r="A1656" s="1" t="s">
        <v>5402</v>
      </c>
      <c r="B1656" s="1" t="s">
        <v>5403</v>
      </c>
      <c r="C1656" s="1" t="s">
        <v>521</v>
      </c>
      <c r="D1656" s="1" t="s">
        <v>5404</v>
      </c>
      <c r="E1656" s="1" t="s">
        <v>1402</v>
      </c>
      <c r="F1656" s="1" t="s">
        <v>524</v>
      </c>
      <c r="G1656" s="1">
        <v>37027</v>
      </c>
      <c r="H1656" s="1" t="s">
        <v>525</v>
      </c>
    </row>
    <row r="1657" spans="1:8" x14ac:dyDescent="0.35">
      <c r="A1657" s="1" t="s">
        <v>5405</v>
      </c>
      <c r="B1657" s="1" t="s">
        <v>5406</v>
      </c>
      <c r="C1657" s="1" t="s">
        <v>521</v>
      </c>
      <c r="D1657" s="1" t="s">
        <v>5407</v>
      </c>
      <c r="E1657" s="1" t="s">
        <v>1402</v>
      </c>
      <c r="F1657" s="1" t="s">
        <v>524</v>
      </c>
      <c r="G1657" s="1">
        <v>37027</v>
      </c>
      <c r="H1657" s="1" t="s">
        <v>525</v>
      </c>
    </row>
    <row r="1658" spans="1:8" x14ac:dyDescent="0.35">
      <c r="A1658" s="1" t="s">
        <v>5408</v>
      </c>
      <c r="B1658" s="1" t="s">
        <v>5409</v>
      </c>
      <c r="C1658" s="1" t="s">
        <v>521</v>
      </c>
      <c r="D1658" s="1" t="s">
        <v>5410</v>
      </c>
      <c r="E1658" s="1" t="s">
        <v>3326</v>
      </c>
      <c r="F1658" s="1" t="s">
        <v>524</v>
      </c>
      <c r="G1658" s="1">
        <v>37174</v>
      </c>
      <c r="H1658" s="1" t="s">
        <v>525</v>
      </c>
    </row>
    <row r="1659" spans="1:8" x14ac:dyDescent="0.35">
      <c r="A1659" s="1" t="s">
        <v>492</v>
      </c>
      <c r="B1659" s="1" t="s">
        <v>5411</v>
      </c>
      <c r="C1659" s="1" t="s">
        <v>521</v>
      </c>
      <c r="D1659" s="1" t="s">
        <v>5412</v>
      </c>
      <c r="E1659" s="1" t="s">
        <v>5347</v>
      </c>
      <c r="F1659" s="1" t="s">
        <v>524</v>
      </c>
      <c r="G1659" s="1">
        <v>37064</v>
      </c>
      <c r="H1659" s="1" t="s">
        <v>525</v>
      </c>
    </row>
    <row r="1660" spans="1:8" x14ac:dyDescent="0.35">
      <c r="A1660" s="1" t="s">
        <v>5413</v>
      </c>
      <c r="B1660" s="1" t="s">
        <v>5414</v>
      </c>
      <c r="C1660" s="1" t="s">
        <v>521</v>
      </c>
      <c r="D1660" s="1" t="s">
        <v>5415</v>
      </c>
      <c r="E1660" s="1" t="s">
        <v>5347</v>
      </c>
      <c r="F1660" s="1" t="s">
        <v>524</v>
      </c>
      <c r="G1660" s="1">
        <v>37064</v>
      </c>
      <c r="H1660" s="1" t="s">
        <v>525</v>
      </c>
    </row>
    <row r="1661" spans="1:8" x14ac:dyDescent="0.35">
      <c r="A1661" s="1" t="s">
        <v>5416</v>
      </c>
      <c r="B1661" s="1" t="s">
        <v>5417</v>
      </c>
      <c r="C1661" s="1" t="s">
        <v>521</v>
      </c>
      <c r="D1661" s="1" t="s">
        <v>5418</v>
      </c>
      <c r="E1661" s="1" t="s">
        <v>5419</v>
      </c>
      <c r="F1661" s="1" t="s">
        <v>524</v>
      </c>
      <c r="G1661" s="1">
        <v>37135</v>
      </c>
      <c r="H1661" s="1" t="s">
        <v>525</v>
      </c>
    </row>
    <row r="1662" spans="1:8" x14ac:dyDescent="0.35">
      <c r="A1662" s="1" t="s">
        <v>5420</v>
      </c>
      <c r="B1662" s="1" t="s">
        <v>5421</v>
      </c>
      <c r="C1662" s="1" t="s">
        <v>521</v>
      </c>
      <c r="D1662" s="1" t="s">
        <v>5422</v>
      </c>
      <c r="E1662" s="1" t="s">
        <v>5419</v>
      </c>
      <c r="F1662" s="1" t="s">
        <v>524</v>
      </c>
      <c r="G1662" s="1">
        <v>37135</v>
      </c>
      <c r="H1662" s="1" t="s">
        <v>525</v>
      </c>
    </row>
    <row r="1663" spans="1:8" x14ac:dyDescent="0.35">
      <c r="A1663" s="1" t="s">
        <v>5423</v>
      </c>
      <c r="B1663" s="1" t="s">
        <v>5424</v>
      </c>
      <c r="C1663" s="1" t="s">
        <v>521</v>
      </c>
      <c r="D1663" s="1" t="s">
        <v>5425</v>
      </c>
      <c r="E1663" s="1" t="s">
        <v>1402</v>
      </c>
      <c r="F1663" s="1" t="s">
        <v>524</v>
      </c>
      <c r="G1663" s="1">
        <v>37027</v>
      </c>
      <c r="H1663" s="1" t="s">
        <v>525</v>
      </c>
    </row>
    <row r="1664" spans="1:8" x14ac:dyDescent="0.35">
      <c r="A1664" s="1" t="s">
        <v>5426</v>
      </c>
      <c r="B1664" s="1" t="s">
        <v>5427</v>
      </c>
      <c r="C1664" s="1" t="s">
        <v>521</v>
      </c>
      <c r="D1664" s="1" t="s">
        <v>5428</v>
      </c>
      <c r="E1664" s="1" t="s">
        <v>5347</v>
      </c>
      <c r="F1664" s="1" t="s">
        <v>524</v>
      </c>
      <c r="G1664" s="1">
        <v>37064</v>
      </c>
      <c r="H1664" s="1" t="s">
        <v>525</v>
      </c>
    </row>
    <row r="1665" spans="1:8" x14ac:dyDescent="0.35">
      <c r="A1665" s="1" t="s">
        <v>5429</v>
      </c>
      <c r="B1665" s="1" t="s">
        <v>5430</v>
      </c>
      <c r="C1665" s="1" t="s">
        <v>521</v>
      </c>
      <c r="D1665" s="1" t="s">
        <v>5431</v>
      </c>
      <c r="E1665" s="1" t="s">
        <v>5419</v>
      </c>
      <c r="F1665" s="1" t="s">
        <v>524</v>
      </c>
      <c r="G1665" s="1">
        <v>37135</v>
      </c>
      <c r="H1665" s="1" t="s">
        <v>525</v>
      </c>
    </row>
    <row r="1666" spans="1:8" x14ac:dyDescent="0.35">
      <c r="A1666" s="1" t="s">
        <v>5432</v>
      </c>
      <c r="B1666" s="1" t="s">
        <v>5433</v>
      </c>
      <c r="C1666" s="1" t="s">
        <v>521</v>
      </c>
      <c r="D1666" s="1" t="s">
        <v>5434</v>
      </c>
      <c r="E1666" s="1" t="s">
        <v>5419</v>
      </c>
      <c r="F1666" s="1" t="s">
        <v>524</v>
      </c>
      <c r="G1666" s="1">
        <v>37135</v>
      </c>
      <c r="H1666" s="1" t="s">
        <v>525</v>
      </c>
    </row>
    <row r="1667" spans="1:8" x14ac:dyDescent="0.35">
      <c r="A1667" s="1" t="s">
        <v>493</v>
      </c>
      <c r="B1667" s="1" t="s">
        <v>5435</v>
      </c>
      <c r="C1667" s="1" t="s">
        <v>521</v>
      </c>
      <c r="D1667" s="1" t="s">
        <v>5436</v>
      </c>
      <c r="E1667" s="1" t="s">
        <v>1402</v>
      </c>
      <c r="F1667" s="1" t="s">
        <v>524</v>
      </c>
      <c r="G1667" s="1">
        <v>37027</v>
      </c>
      <c r="H1667" s="1" t="s">
        <v>525</v>
      </c>
    </row>
    <row r="1668" spans="1:8" x14ac:dyDescent="0.35">
      <c r="A1668" s="1" t="s">
        <v>5437</v>
      </c>
      <c r="B1668" s="1" t="s">
        <v>5438</v>
      </c>
      <c r="C1668" s="1" t="s">
        <v>521</v>
      </c>
      <c r="D1668" s="1" t="s">
        <v>5439</v>
      </c>
      <c r="E1668" s="1" t="s">
        <v>1402</v>
      </c>
      <c r="F1668" s="1" t="s">
        <v>524</v>
      </c>
      <c r="G1668" s="1">
        <v>37027</v>
      </c>
      <c r="H1668" s="1" t="s">
        <v>525</v>
      </c>
    </row>
    <row r="1669" spans="1:8" x14ac:dyDescent="0.35">
      <c r="A1669" s="1" t="s">
        <v>5440</v>
      </c>
      <c r="B1669" s="1" t="s">
        <v>5441</v>
      </c>
      <c r="C1669" s="1" t="s">
        <v>521</v>
      </c>
      <c r="D1669" s="1" t="s">
        <v>5442</v>
      </c>
      <c r="E1669" s="1" t="s">
        <v>1402</v>
      </c>
      <c r="F1669" s="1" t="s">
        <v>524</v>
      </c>
      <c r="G1669" s="1">
        <v>37027</v>
      </c>
      <c r="H1669" s="1" t="s">
        <v>525</v>
      </c>
    </row>
    <row r="1670" spans="1:8" x14ac:dyDescent="0.35">
      <c r="A1670" s="1" t="s">
        <v>5443</v>
      </c>
      <c r="B1670" s="1" t="s">
        <v>5444</v>
      </c>
      <c r="C1670" s="1" t="s">
        <v>521</v>
      </c>
      <c r="D1670" s="1" t="s">
        <v>5445</v>
      </c>
      <c r="E1670" s="1" t="s">
        <v>1402</v>
      </c>
      <c r="F1670" s="1" t="s">
        <v>524</v>
      </c>
      <c r="G1670" s="1">
        <v>37027</v>
      </c>
      <c r="H1670" s="1" t="s">
        <v>525</v>
      </c>
    </row>
    <row r="1671" spans="1:8" x14ac:dyDescent="0.35">
      <c r="A1671" s="1" t="s">
        <v>494</v>
      </c>
      <c r="B1671" s="1" t="s">
        <v>5446</v>
      </c>
      <c r="C1671" s="1" t="s">
        <v>521</v>
      </c>
      <c r="D1671" s="1" t="s">
        <v>5447</v>
      </c>
      <c r="E1671" s="1" t="s">
        <v>3326</v>
      </c>
      <c r="F1671" s="1" t="s">
        <v>524</v>
      </c>
      <c r="G1671" s="1">
        <v>37174</v>
      </c>
      <c r="H1671" s="1" t="s">
        <v>525</v>
      </c>
    </row>
    <row r="1672" spans="1:8" x14ac:dyDescent="0.35">
      <c r="A1672" s="1" t="s">
        <v>5448</v>
      </c>
      <c r="B1672" s="1" t="s">
        <v>5449</v>
      </c>
      <c r="C1672" s="1" t="s">
        <v>521</v>
      </c>
      <c r="D1672" s="1" t="s">
        <v>5450</v>
      </c>
      <c r="E1672" s="1" t="s">
        <v>5347</v>
      </c>
      <c r="F1672" s="1" t="s">
        <v>524</v>
      </c>
      <c r="G1672" s="1">
        <v>37067</v>
      </c>
      <c r="H1672" s="1" t="s">
        <v>525</v>
      </c>
    </row>
    <row r="1673" spans="1:8" x14ac:dyDescent="0.35">
      <c r="A1673" s="1" t="s">
        <v>5451</v>
      </c>
      <c r="B1673" s="1" t="s">
        <v>5452</v>
      </c>
      <c r="C1673" s="1" t="s">
        <v>521</v>
      </c>
      <c r="D1673" s="1" t="s">
        <v>5453</v>
      </c>
      <c r="E1673" s="1" t="s">
        <v>5347</v>
      </c>
      <c r="F1673" s="1" t="s">
        <v>524</v>
      </c>
      <c r="G1673" s="1">
        <v>37069</v>
      </c>
      <c r="H1673" s="1" t="s">
        <v>525</v>
      </c>
    </row>
    <row r="1674" spans="1:8" x14ac:dyDescent="0.35">
      <c r="A1674" s="1" t="s">
        <v>5454</v>
      </c>
      <c r="B1674" s="1" t="s">
        <v>5455</v>
      </c>
      <c r="C1674" s="1" t="s">
        <v>521</v>
      </c>
      <c r="D1674" s="1" t="s">
        <v>5456</v>
      </c>
      <c r="E1674" s="1" t="s">
        <v>1402</v>
      </c>
      <c r="F1674" s="1" t="s">
        <v>524</v>
      </c>
      <c r="G1674" s="1">
        <v>37027</v>
      </c>
      <c r="H1674" s="1" t="s">
        <v>525</v>
      </c>
    </row>
    <row r="1675" spans="1:8" x14ac:dyDescent="0.35">
      <c r="A1675" s="1" t="s">
        <v>5457</v>
      </c>
      <c r="B1675" s="1" t="s">
        <v>5458</v>
      </c>
      <c r="C1675" s="1" t="s">
        <v>521</v>
      </c>
      <c r="D1675" s="1" t="s">
        <v>5459</v>
      </c>
      <c r="E1675" s="1" t="s">
        <v>5366</v>
      </c>
      <c r="F1675" s="1" t="s">
        <v>524</v>
      </c>
      <c r="G1675" s="1">
        <v>37062</v>
      </c>
      <c r="H1675" s="1" t="s">
        <v>525</v>
      </c>
    </row>
    <row r="1676" spans="1:8" x14ac:dyDescent="0.35">
      <c r="A1676" s="1" t="s">
        <v>5460</v>
      </c>
      <c r="B1676" s="1" t="s">
        <v>5461</v>
      </c>
      <c r="C1676" s="1" t="s">
        <v>521</v>
      </c>
      <c r="D1676" s="1" t="s">
        <v>5462</v>
      </c>
      <c r="E1676" s="1" t="s">
        <v>5347</v>
      </c>
      <c r="F1676" s="1" t="s">
        <v>524</v>
      </c>
      <c r="G1676" s="1">
        <v>37064</v>
      </c>
      <c r="H1676" s="1" t="s">
        <v>525</v>
      </c>
    </row>
    <row r="1677" spans="1:8" x14ac:dyDescent="0.35">
      <c r="A1677" s="1" t="s">
        <v>5463</v>
      </c>
      <c r="B1677" s="1" t="s">
        <v>5464</v>
      </c>
      <c r="C1677" s="1" t="s">
        <v>521</v>
      </c>
      <c r="D1677" s="1" t="s">
        <v>5465</v>
      </c>
      <c r="E1677" s="1" t="s">
        <v>5347</v>
      </c>
      <c r="F1677" s="1" t="s">
        <v>524</v>
      </c>
      <c r="G1677" s="1">
        <v>37064</v>
      </c>
      <c r="H1677" s="1" t="s">
        <v>525</v>
      </c>
    </row>
    <row r="1678" spans="1:8" x14ac:dyDescent="0.35">
      <c r="A1678" s="1" t="s">
        <v>5466</v>
      </c>
      <c r="B1678" s="1" t="s">
        <v>5467</v>
      </c>
      <c r="C1678" s="1" t="s">
        <v>521</v>
      </c>
      <c r="D1678" s="1" t="s">
        <v>5468</v>
      </c>
      <c r="E1678" s="1" t="s">
        <v>5347</v>
      </c>
      <c r="F1678" s="1" t="s">
        <v>524</v>
      </c>
      <c r="G1678" s="1">
        <v>37064</v>
      </c>
      <c r="H1678" s="1" t="s">
        <v>525</v>
      </c>
    </row>
    <row r="1679" spans="1:8" x14ac:dyDescent="0.35">
      <c r="A1679" s="1" t="s">
        <v>5469</v>
      </c>
      <c r="B1679" s="1" t="s">
        <v>5470</v>
      </c>
      <c r="C1679" s="1" t="s">
        <v>521</v>
      </c>
      <c r="D1679" s="1" t="s">
        <v>5471</v>
      </c>
      <c r="E1679" s="1" t="s">
        <v>5347</v>
      </c>
      <c r="F1679" s="1" t="s">
        <v>524</v>
      </c>
      <c r="G1679" s="1">
        <v>37064</v>
      </c>
      <c r="H1679" s="1" t="s">
        <v>525</v>
      </c>
    </row>
    <row r="1680" spans="1:8" x14ac:dyDescent="0.35">
      <c r="A1680" s="1" t="s">
        <v>5472</v>
      </c>
      <c r="B1680" s="1" t="s">
        <v>5473</v>
      </c>
      <c r="C1680" s="1" t="s">
        <v>521</v>
      </c>
      <c r="D1680" s="1" t="s">
        <v>5474</v>
      </c>
      <c r="E1680" s="1" t="s">
        <v>5347</v>
      </c>
      <c r="F1680" s="1" t="s">
        <v>524</v>
      </c>
      <c r="G1680" s="1">
        <v>37064</v>
      </c>
      <c r="H1680" s="1" t="s">
        <v>525</v>
      </c>
    </row>
    <row r="1681" spans="1:8" x14ac:dyDescent="0.35">
      <c r="A1681" s="1" t="s">
        <v>5475</v>
      </c>
      <c r="B1681" s="1" t="s">
        <v>640</v>
      </c>
      <c r="C1681" s="1" t="s">
        <v>521</v>
      </c>
      <c r="D1681" s="1" t="s">
        <v>5476</v>
      </c>
      <c r="E1681" s="1" t="s">
        <v>5347</v>
      </c>
      <c r="F1681" s="1" t="s">
        <v>524</v>
      </c>
      <c r="G1681" s="1">
        <v>37064</v>
      </c>
      <c r="H1681" s="1" t="s">
        <v>525</v>
      </c>
    </row>
    <row r="1682" spans="1:8" x14ac:dyDescent="0.35">
      <c r="A1682" s="1" t="s">
        <v>5477</v>
      </c>
      <c r="B1682" s="1" t="s">
        <v>5478</v>
      </c>
      <c r="C1682" s="1" t="s">
        <v>521</v>
      </c>
      <c r="D1682" s="1" t="s">
        <v>5479</v>
      </c>
      <c r="E1682" s="1" t="s">
        <v>5347</v>
      </c>
      <c r="F1682" s="1" t="s">
        <v>524</v>
      </c>
      <c r="G1682" s="1">
        <v>37064</v>
      </c>
      <c r="H1682" s="1" t="s">
        <v>525</v>
      </c>
    </row>
    <row r="1683" spans="1:8" x14ac:dyDescent="0.35">
      <c r="A1683" s="1" t="s">
        <v>5480</v>
      </c>
      <c r="B1683" s="1" t="s">
        <v>5481</v>
      </c>
      <c r="C1683" s="1" t="s">
        <v>521</v>
      </c>
      <c r="D1683" s="1" t="s">
        <v>5482</v>
      </c>
      <c r="E1683" s="1" t="s">
        <v>5347</v>
      </c>
      <c r="F1683" s="1" t="s">
        <v>524</v>
      </c>
      <c r="G1683" s="1">
        <v>37064</v>
      </c>
      <c r="H1683" s="1" t="s">
        <v>525</v>
      </c>
    </row>
    <row r="1684" spans="1:8" x14ac:dyDescent="0.35">
      <c r="A1684" s="1" t="s">
        <v>5483</v>
      </c>
      <c r="B1684" s="1" t="s">
        <v>5484</v>
      </c>
      <c r="C1684" s="1" t="s">
        <v>521</v>
      </c>
      <c r="D1684" s="1" t="s">
        <v>5482</v>
      </c>
      <c r="E1684" s="1" t="s">
        <v>5347</v>
      </c>
      <c r="F1684" s="1" t="s">
        <v>524</v>
      </c>
      <c r="G1684" s="1">
        <v>37064</v>
      </c>
      <c r="H1684" s="1" t="s">
        <v>525</v>
      </c>
    </row>
    <row r="1685" spans="1:8" x14ac:dyDescent="0.35">
      <c r="A1685" s="1" t="s">
        <v>5485</v>
      </c>
      <c r="B1685" s="1" t="s">
        <v>5486</v>
      </c>
      <c r="C1685" s="1" t="s">
        <v>521</v>
      </c>
      <c r="D1685" s="1" t="s">
        <v>5487</v>
      </c>
      <c r="E1685" s="1" t="s">
        <v>5488</v>
      </c>
      <c r="F1685" s="1" t="s">
        <v>524</v>
      </c>
      <c r="G1685" s="1">
        <v>37087</v>
      </c>
      <c r="H1685" s="1" t="s">
        <v>525</v>
      </c>
    </row>
    <row r="1686" spans="1:8" x14ac:dyDescent="0.35">
      <c r="A1686" s="1" t="s">
        <v>5489</v>
      </c>
      <c r="B1686" s="1" t="s">
        <v>5490</v>
      </c>
      <c r="C1686" s="1" t="s">
        <v>521</v>
      </c>
      <c r="D1686" s="1" t="s">
        <v>5491</v>
      </c>
      <c r="E1686" s="1" t="s">
        <v>5492</v>
      </c>
      <c r="F1686" s="1" t="s">
        <v>524</v>
      </c>
      <c r="G1686" s="1">
        <v>37071</v>
      </c>
      <c r="H1686" s="1" t="s">
        <v>525</v>
      </c>
    </row>
    <row r="1687" spans="1:8" x14ac:dyDescent="0.35">
      <c r="A1687" s="1" t="s">
        <v>5493</v>
      </c>
      <c r="B1687" s="1" t="s">
        <v>5494</v>
      </c>
      <c r="C1687" s="1" t="s">
        <v>521</v>
      </c>
      <c r="D1687" s="1" t="s">
        <v>5495</v>
      </c>
      <c r="E1687" s="1" t="s">
        <v>5496</v>
      </c>
      <c r="F1687" s="1" t="s">
        <v>524</v>
      </c>
      <c r="G1687" s="1">
        <v>37122</v>
      </c>
      <c r="H1687" s="1" t="s">
        <v>525</v>
      </c>
    </row>
    <row r="1688" spans="1:8" x14ac:dyDescent="0.35">
      <c r="A1688" s="1" t="s">
        <v>5497</v>
      </c>
      <c r="B1688" s="1" t="s">
        <v>5498</v>
      </c>
      <c r="C1688" s="1" t="s">
        <v>521</v>
      </c>
      <c r="D1688" s="1" t="s">
        <v>5499</v>
      </c>
      <c r="E1688" s="1" t="s">
        <v>5500</v>
      </c>
      <c r="F1688" s="1" t="s">
        <v>524</v>
      </c>
      <c r="G1688" s="1">
        <v>37122</v>
      </c>
      <c r="H1688" s="1" t="s">
        <v>525</v>
      </c>
    </row>
    <row r="1689" spans="1:8" x14ac:dyDescent="0.35">
      <c r="A1689" s="1" t="s">
        <v>495</v>
      </c>
      <c r="B1689" s="1" t="s">
        <v>5501</v>
      </c>
      <c r="C1689" s="1" t="s">
        <v>521</v>
      </c>
      <c r="D1689" s="1" t="s">
        <v>5502</v>
      </c>
      <c r="E1689" s="1" t="s">
        <v>5488</v>
      </c>
      <c r="F1689" s="1" t="s">
        <v>524</v>
      </c>
      <c r="G1689" s="1">
        <v>37087</v>
      </c>
      <c r="H1689" s="1" t="s">
        <v>525</v>
      </c>
    </row>
    <row r="1690" spans="1:8" x14ac:dyDescent="0.35">
      <c r="A1690" s="1" t="s">
        <v>497</v>
      </c>
      <c r="B1690" s="1" t="s">
        <v>5503</v>
      </c>
      <c r="C1690" s="1" t="s">
        <v>521</v>
      </c>
      <c r="D1690" s="1" t="s">
        <v>5504</v>
      </c>
      <c r="E1690" s="1" t="s">
        <v>5500</v>
      </c>
      <c r="F1690" s="1" t="s">
        <v>524</v>
      </c>
      <c r="G1690" s="1">
        <v>37122</v>
      </c>
      <c r="H1690" s="1" t="s">
        <v>525</v>
      </c>
    </row>
    <row r="1691" spans="1:8" x14ac:dyDescent="0.35">
      <c r="A1691" s="1" t="s">
        <v>5505</v>
      </c>
      <c r="B1691" s="1" t="s">
        <v>5506</v>
      </c>
      <c r="C1691" s="1" t="s">
        <v>521</v>
      </c>
      <c r="D1691" s="1" t="s">
        <v>5507</v>
      </c>
      <c r="E1691" s="1" t="s">
        <v>5496</v>
      </c>
      <c r="F1691" s="1" t="s">
        <v>524</v>
      </c>
      <c r="G1691" s="1">
        <v>37122</v>
      </c>
      <c r="H1691" s="1" t="s">
        <v>525</v>
      </c>
    </row>
    <row r="1692" spans="1:8" x14ac:dyDescent="0.35">
      <c r="A1692" s="1" t="s">
        <v>5508</v>
      </c>
      <c r="B1692" s="1" t="s">
        <v>5509</v>
      </c>
      <c r="C1692" s="1" t="s">
        <v>521</v>
      </c>
      <c r="D1692" s="1" t="s">
        <v>5510</v>
      </c>
      <c r="E1692" s="1" t="s">
        <v>5500</v>
      </c>
      <c r="F1692" s="1" t="s">
        <v>524</v>
      </c>
      <c r="G1692" s="1">
        <v>37122</v>
      </c>
      <c r="H1692" s="1" t="s">
        <v>525</v>
      </c>
    </row>
    <row r="1693" spans="1:8" x14ac:dyDescent="0.35">
      <c r="A1693" s="1" t="s">
        <v>5511</v>
      </c>
      <c r="B1693" s="1" t="s">
        <v>5512</v>
      </c>
      <c r="C1693" s="1" t="s">
        <v>521</v>
      </c>
      <c r="D1693" s="1" t="s">
        <v>5513</v>
      </c>
      <c r="E1693" s="1" t="s">
        <v>5500</v>
      </c>
      <c r="F1693" s="1" t="s">
        <v>524</v>
      </c>
      <c r="G1693" s="1">
        <v>37122</v>
      </c>
      <c r="H1693" s="1" t="s">
        <v>525</v>
      </c>
    </row>
    <row r="1694" spans="1:8" x14ac:dyDescent="0.35">
      <c r="A1694" s="1" t="s">
        <v>5514</v>
      </c>
      <c r="B1694" s="1" t="s">
        <v>5515</v>
      </c>
      <c r="C1694" s="1" t="s">
        <v>521</v>
      </c>
      <c r="D1694" s="1" t="s">
        <v>5516</v>
      </c>
      <c r="E1694" s="1" t="s">
        <v>5500</v>
      </c>
      <c r="F1694" s="1" t="s">
        <v>524</v>
      </c>
      <c r="G1694" s="1">
        <v>37122</v>
      </c>
      <c r="H1694" s="1" t="s">
        <v>525</v>
      </c>
    </row>
    <row r="1695" spans="1:8" x14ac:dyDescent="0.35">
      <c r="A1695" s="1" t="s">
        <v>5517</v>
      </c>
      <c r="B1695" s="1" t="s">
        <v>1996</v>
      </c>
      <c r="C1695" s="1" t="s">
        <v>521</v>
      </c>
      <c r="D1695" s="1" t="s">
        <v>5518</v>
      </c>
      <c r="E1695" s="1" t="s">
        <v>5488</v>
      </c>
      <c r="F1695" s="1" t="s">
        <v>524</v>
      </c>
      <c r="G1695" s="1">
        <v>37087</v>
      </c>
      <c r="H1695" s="1" t="s">
        <v>525</v>
      </c>
    </row>
    <row r="1696" spans="1:8" x14ac:dyDescent="0.35">
      <c r="A1696" s="1" t="s">
        <v>5519</v>
      </c>
      <c r="B1696" s="1" t="s">
        <v>5520</v>
      </c>
      <c r="C1696" s="1" t="s">
        <v>521</v>
      </c>
      <c r="D1696" s="1" t="s">
        <v>5521</v>
      </c>
      <c r="E1696" s="1" t="s">
        <v>5500</v>
      </c>
      <c r="F1696" s="1" t="s">
        <v>524</v>
      </c>
      <c r="G1696" s="1">
        <v>37122</v>
      </c>
      <c r="H1696" s="1" t="s">
        <v>525</v>
      </c>
    </row>
    <row r="1697" spans="1:8" x14ac:dyDescent="0.35">
      <c r="A1697" s="1" t="s">
        <v>5522</v>
      </c>
      <c r="B1697" s="1" t="s">
        <v>5523</v>
      </c>
      <c r="C1697" s="1" t="s">
        <v>521</v>
      </c>
      <c r="D1697" s="1" t="s">
        <v>5524</v>
      </c>
      <c r="E1697" s="1" t="s">
        <v>5488</v>
      </c>
      <c r="F1697" s="1" t="s">
        <v>524</v>
      </c>
      <c r="G1697" s="1">
        <v>37087</v>
      </c>
      <c r="H1697" s="1" t="s">
        <v>525</v>
      </c>
    </row>
    <row r="1698" spans="1:8" x14ac:dyDescent="0.35">
      <c r="A1698" s="1" t="s">
        <v>498</v>
      </c>
      <c r="B1698" s="1" t="s">
        <v>5525</v>
      </c>
      <c r="C1698" s="1" t="s">
        <v>521</v>
      </c>
      <c r="D1698" s="1" t="s">
        <v>5526</v>
      </c>
      <c r="E1698" s="1" t="s">
        <v>5527</v>
      </c>
      <c r="F1698" s="1" t="s">
        <v>524</v>
      </c>
      <c r="G1698" s="1">
        <v>37184</v>
      </c>
      <c r="H1698" s="1" t="s">
        <v>525</v>
      </c>
    </row>
    <row r="1699" spans="1:8" x14ac:dyDescent="0.35">
      <c r="A1699" s="1" t="s">
        <v>5528</v>
      </c>
      <c r="B1699" s="1" t="s">
        <v>5529</v>
      </c>
      <c r="C1699" s="1" t="s">
        <v>521</v>
      </c>
      <c r="D1699" s="1" t="s">
        <v>5530</v>
      </c>
      <c r="E1699" s="1" t="s">
        <v>5527</v>
      </c>
      <c r="F1699" s="1" t="s">
        <v>524</v>
      </c>
      <c r="G1699" s="1">
        <v>37184</v>
      </c>
      <c r="H1699" s="1" t="s">
        <v>525</v>
      </c>
    </row>
    <row r="1700" spans="1:8" x14ac:dyDescent="0.35">
      <c r="A1700" s="1" t="s">
        <v>5531</v>
      </c>
      <c r="B1700" s="1" t="s">
        <v>2162</v>
      </c>
      <c r="C1700" s="1" t="s">
        <v>521</v>
      </c>
      <c r="D1700" s="1" t="s">
        <v>5532</v>
      </c>
      <c r="E1700" s="1" t="s">
        <v>5500</v>
      </c>
      <c r="F1700" s="1" t="s">
        <v>524</v>
      </c>
      <c r="G1700" s="1">
        <v>37122</v>
      </c>
      <c r="H1700" s="1" t="s">
        <v>525</v>
      </c>
    </row>
    <row r="1701" spans="1:8" x14ac:dyDescent="0.35">
      <c r="A1701" s="1" t="s">
        <v>499</v>
      </c>
      <c r="B1701" s="1" t="s">
        <v>5533</v>
      </c>
      <c r="C1701" s="1" t="s">
        <v>521</v>
      </c>
      <c r="D1701" s="1" t="s">
        <v>5534</v>
      </c>
      <c r="E1701" s="1" t="s">
        <v>5488</v>
      </c>
      <c r="F1701" s="1" t="s">
        <v>524</v>
      </c>
      <c r="G1701" s="1">
        <v>37090</v>
      </c>
      <c r="H1701" s="1" t="s">
        <v>525</v>
      </c>
    </row>
    <row r="1702" spans="1:8" x14ac:dyDescent="0.35">
      <c r="A1702" s="1" t="s">
        <v>5535</v>
      </c>
      <c r="B1702" s="1" t="s">
        <v>5536</v>
      </c>
      <c r="C1702" s="1" t="s">
        <v>521</v>
      </c>
      <c r="D1702" s="1" t="s">
        <v>5537</v>
      </c>
      <c r="E1702" s="1" t="s">
        <v>5500</v>
      </c>
      <c r="F1702" s="1" t="s">
        <v>524</v>
      </c>
      <c r="G1702" s="1">
        <v>37122</v>
      </c>
      <c r="H1702" s="1" t="s">
        <v>525</v>
      </c>
    </row>
    <row r="1703" spans="1:8" x14ac:dyDescent="0.35">
      <c r="A1703" s="1" t="s">
        <v>500</v>
      </c>
      <c r="B1703" s="1" t="s">
        <v>5538</v>
      </c>
      <c r="C1703" s="1" t="s">
        <v>521</v>
      </c>
      <c r="D1703" s="1" t="s">
        <v>5539</v>
      </c>
      <c r="E1703" s="1" t="s">
        <v>5488</v>
      </c>
      <c r="F1703" s="1" t="s">
        <v>524</v>
      </c>
      <c r="G1703" s="1">
        <v>37090</v>
      </c>
      <c r="H1703" s="1" t="s">
        <v>525</v>
      </c>
    </row>
    <row r="1704" spans="1:8" x14ac:dyDescent="0.35">
      <c r="A1704" s="1" t="s">
        <v>5540</v>
      </c>
      <c r="B1704" s="1" t="s">
        <v>5541</v>
      </c>
      <c r="C1704" s="1" t="s">
        <v>521</v>
      </c>
      <c r="D1704" s="1" t="s">
        <v>5542</v>
      </c>
      <c r="E1704" s="1" t="s">
        <v>5496</v>
      </c>
      <c r="F1704" s="1" t="s">
        <v>524</v>
      </c>
      <c r="G1704" s="1">
        <v>37122</v>
      </c>
      <c r="H1704" s="1" t="s">
        <v>525</v>
      </c>
    </row>
    <row r="1705" spans="1:8" x14ac:dyDescent="0.35">
      <c r="A1705" s="1" t="s">
        <v>5543</v>
      </c>
      <c r="B1705" s="1" t="s">
        <v>5544</v>
      </c>
      <c r="C1705" s="1" t="s">
        <v>521</v>
      </c>
      <c r="D1705" s="1" t="s">
        <v>5545</v>
      </c>
      <c r="E1705" s="1" t="s">
        <v>5527</v>
      </c>
      <c r="F1705" s="1" t="s">
        <v>524</v>
      </c>
      <c r="G1705" s="1">
        <v>37184</v>
      </c>
      <c r="H1705" s="1" t="s">
        <v>525</v>
      </c>
    </row>
    <row r="1706" spans="1:8" x14ac:dyDescent="0.35">
      <c r="A1706" s="1" t="s">
        <v>5546</v>
      </c>
      <c r="B1706" s="1" t="s">
        <v>5547</v>
      </c>
      <c r="C1706" s="1" t="s">
        <v>521</v>
      </c>
      <c r="D1706" s="1" t="s">
        <v>5548</v>
      </c>
      <c r="E1706" s="1" t="s">
        <v>5488</v>
      </c>
      <c r="F1706" s="1" t="s">
        <v>524</v>
      </c>
      <c r="G1706" s="1">
        <v>37087</v>
      </c>
      <c r="H1706" s="1" t="s">
        <v>525</v>
      </c>
    </row>
    <row r="1707" spans="1:8" x14ac:dyDescent="0.35">
      <c r="A1707" s="1" t="s">
        <v>5549</v>
      </c>
      <c r="B1707" s="1" t="s">
        <v>5550</v>
      </c>
      <c r="C1707" s="1" t="s">
        <v>521</v>
      </c>
      <c r="D1707" s="1" t="s">
        <v>5551</v>
      </c>
      <c r="E1707" s="1" t="s">
        <v>5488</v>
      </c>
      <c r="F1707" s="1" t="s">
        <v>524</v>
      </c>
      <c r="G1707" s="1">
        <v>37087</v>
      </c>
      <c r="H1707" s="1" t="s">
        <v>525</v>
      </c>
    </row>
    <row r="1708" spans="1:8" x14ac:dyDescent="0.35">
      <c r="A1708" s="1" t="s">
        <v>5552</v>
      </c>
      <c r="B1708" s="1" t="s">
        <v>768</v>
      </c>
      <c r="C1708" s="1" t="s">
        <v>521</v>
      </c>
      <c r="D1708" s="1" t="s">
        <v>5553</v>
      </c>
      <c r="E1708" s="1" t="s">
        <v>5488</v>
      </c>
      <c r="F1708" s="1" t="s">
        <v>524</v>
      </c>
      <c r="G1708" s="1">
        <v>37087</v>
      </c>
      <c r="H1708" s="1" t="s">
        <v>525</v>
      </c>
    </row>
    <row r="1709" spans="1:8" x14ac:dyDescent="0.35">
      <c r="A1709" s="1" t="s">
        <v>5554</v>
      </c>
      <c r="B1709" s="1" t="s">
        <v>5555</v>
      </c>
      <c r="C1709" s="1" t="s">
        <v>521</v>
      </c>
      <c r="D1709" s="1" t="s">
        <v>5556</v>
      </c>
      <c r="E1709" s="1" t="s">
        <v>5488</v>
      </c>
      <c r="F1709" s="1" t="s">
        <v>524</v>
      </c>
      <c r="G1709" s="1">
        <v>37087</v>
      </c>
      <c r="H1709" s="1" t="s">
        <v>525</v>
      </c>
    </row>
    <row r="1710" spans="1:8" x14ac:dyDescent="0.35">
      <c r="A1710" s="1" t="s">
        <v>5557</v>
      </c>
      <c r="B1710" s="1" t="s">
        <v>5558</v>
      </c>
      <c r="C1710" s="1" t="s">
        <v>521</v>
      </c>
      <c r="D1710" s="1" t="s">
        <v>5559</v>
      </c>
      <c r="E1710" s="1" t="s">
        <v>5488</v>
      </c>
      <c r="F1710" s="1" t="s">
        <v>524</v>
      </c>
      <c r="G1710" s="1">
        <v>37087</v>
      </c>
      <c r="H1710" s="1" t="s">
        <v>525</v>
      </c>
    </row>
    <row r="1711" spans="1:8" x14ac:dyDescent="0.35">
      <c r="A1711" s="1" t="s">
        <v>5560</v>
      </c>
      <c r="B1711" s="1" t="s">
        <v>5561</v>
      </c>
      <c r="C1711" s="1" t="s">
        <v>521</v>
      </c>
      <c r="D1711" s="1" t="s">
        <v>5562</v>
      </c>
      <c r="E1711" s="1" t="s">
        <v>5488</v>
      </c>
      <c r="F1711" s="1" t="s">
        <v>524</v>
      </c>
      <c r="G1711" s="1">
        <v>37087</v>
      </c>
      <c r="H1711" s="1" t="s">
        <v>525</v>
      </c>
    </row>
    <row r="1712" spans="1:8" x14ac:dyDescent="0.35">
      <c r="A1712" s="1" t="s">
        <v>5563</v>
      </c>
      <c r="B1712" s="1" t="s">
        <v>5564</v>
      </c>
      <c r="C1712" s="1" t="s">
        <v>5565</v>
      </c>
      <c r="D1712" s="1" t="s">
        <v>5566</v>
      </c>
      <c r="E1712" s="1" t="s">
        <v>3179</v>
      </c>
      <c r="F1712" s="1" t="s">
        <v>524</v>
      </c>
      <c r="G1712" s="1">
        <v>38301</v>
      </c>
      <c r="H1712" s="1" t="s">
        <v>525</v>
      </c>
    </row>
    <row r="1713" spans="1:8" x14ac:dyDescent="0.35">
      <c r="A1713" s="1" t="s">
        <v>501</v>
      </c>
      <c r="B1713" s="1" t="s">
        <v>5567</v>
      </c>
      <c r="C1713" s="1" t="s">
        <v>5565</v>
      </c>
      <c r="D1713" s="1" t="s">
        <v>5568</v>
      </c>
      <c r="E1713" s="1" t="s">
        <v>1872</v>
      </c>
      <c r="F1713" s="1" t="s">
        <v>524</v>
      </c>
      <c r="G1713" s="1">
        <v>38556</v>
      </c>
      <c r="H1713" s="1" t="s">
        <v>525</v>
      </c>
    </row>
    <row r="1714" spans="1:8" x14ac:dyDescent="0.35">
      <c r="A1714" s="1" t="s">
        <v>503</v>
      </c>
      <c r="B1714" s="1" t="s">
        <v>5569</v>
      </c>
      <c r="C1714" s="1" t="s">
        <v>5565</v>
      </c>
      <c r="D1714" s="1" t="s">
        <v>5570</v>
      </c>
      <c r="E1714" s="1" t="s">
        <v>1270</v>
      </c>
      <c r="F1714" s="1" t="s">
        <v>524</v>
      </c>
      <c r="G1714" s="1">
        <v>37214</v>
      </c>
      <c r="H1714" s="1" t="s">
        <v>525</v>
      </c>
    </row>
    <row r="1715" spans="1:8" x14ac:dyDescent="0.35">
      <c r="A1715" s="1" t="s">
        <v>5571</v>
      </c>
      <c r="B1715" s="1" t="s">
        <v>5572</v>
      </c>
      <c r="C1715" s="1" t="s">
        <v>5565</v>
      </c>
      <c r="D1715" s="1" t="s">
        <v>5573</v>
      </c>
      <c r="E1715" s="1" t="s">
        <v>2708</v>
      </c>
      <c r="F1715" s="1" t="s">
        <v>524</v>
      </c>
      <c r="G1715" s="1">
        <v>37920</v>
      </c>
      <c r="H1715" s="1" t="s">
        <v>525</v>
      </c>
    </row>
    <row r="1716" spans="1:8" x14ac:dyDescent="0.35">
      <c r="A1716" s="1" t="s">
        <v>5574</v>
      </c>
      <c r="B1716" s="1" t="s">
        <v>5575</v>
      </c>
      <c r="C1716" s="1" t="s">
        <v>5565</v>
      </c>
      <c r="D1716" s="1" t="s">
        <v>5573</v>
      </c>
      <c r="E1716" s="1" t="s">
        <v>2708</v>
      </c>
      <c r="F1716" s="1" t="s">
        <v>524</v>
      </c>
      <c r="G1716" s="1">
        <v>37920</v>
      </c>
      <c r="H1716" s="1" t="s">
        <v>525</v>
      </c>
    </row>
    <row r="1717" spans="1:8" x14ac:dyDescent="0.35">
      <c r="A1717" s="1" t="s">
        <v>505</v>
      </c>
      <c r="B1717" s="1" t="s">
        <v>5576</v>
      </c>
      <c r="C1717" s="1" t="s">
        <v>5565</v>
      </c>
      <c r="D1717" s="1" t="s">
        <v>5573</v>
      </c>
      <c r="E1717" s="1" t="s">
        <v>2708</v>
      </c>
      <c r="F1717" s="1" t="s">
        <v>524</v>
      </c>
      <c r="G1717" s="1">
        <v>37920</v>
      </c>
      <c r="H1717" s="1" t="s">
        <v>525</v>
      </c>
    </row>
    <row r="1718" spans="1:8" x14ac:dyDescent="0.35">
      <c r="A1718" s="1" t="s">
        <v>5577</v>
      </c>
      <c r="B1718" s="1" t="s">
        <v>5578</v>
      </c>
      <c r="C1718" s="1" t="s">
        <v>521</v>
      </c>
      <c r="D1718" s="1" t="s">
        <v>5579</v>
      </c>
      <c r="E1718" s="1" t="s">
        <v>4140</v>
      </c>
      <c r="F1718" s="1" t="s">
        <v>524</v>
      </c>
      <c r="G1718" s="1">
        <v>38127</v>
      </c>
      <c r="H1718" s="1" t="s">
        <v>525</v>
      </c>
    </row>
    <row r="1719" spans="1:8" x14ac:dyDescent="0.35">
      <c r="A1719" s="1" t="s">
        <v>5580</v>
      </c>
      <c r="B1719" s="1" t="s">
        <v>5581</v>
      </c>
      <c r="C1719" s="1" t="s">
        <v>1639</v>
      </c>
      <c r="D1719" s="1" t="s">
        <v>5582</v>
      </c>
      <c r="E1719" s="1" t="s">
        <v>4140</v>
      </c>
      <c r="F1719" s="1" t="s">
        <v>524</v>
      </c>
      <c r="G1719" s="1">
        <v>38127</v>
      </c>
      <c r="H1719" s="1" t="s">
        <v>1641</v>
      </c>
    </row>
    <row r="1720" spans="1:8" x14ac:dyDescent="0.35">
      <c r="A1720" s="1" t="s">
        <v>5583</v>
      </c>
      <c r="B1720" s="1" t="s">
        <v>5584</v>
      </c>
      <c r="C1720" s="1" t="s">
        <v>521</v>
      </c>
      <c r="D1720" s="1" t="s">
        <v>5585</v>
      </c>
      <c r="E1720" s="1" t="s">
        <v>4140</v>
      </c>
      <c r="F1720" s="1" t="s">
        <v>524</v>
      </c>
      <c r="G1720" s="1">
        <v>38127</v>
      </c>
      <c r="H1720" s="1" t="s">
        <v>525</v>
      </c>
    </row>
    <row r="1721" spans="1:8" x14ac:dyDescent="0.35">
      <c r="A1721" s="1" t="s">
        <v>5586</v>
      </c>
      <c r="B1721" s="1" t="s">
        <v>5587</v>
      </c>
      <c r="C1721" s="1" t="s">
        <v>521</v>
      </c>
      <c r="D1721" s="1" t="s">
        <v>5588</v>
      </c>
      <c r="E1721" s="1" t="s">
        <v>4140</v>
      </c>
      <c r="F1721" s="1" t="s">
        <v>524</v>
      </c>
      <c r="G1721" s="1">
        <v>38127</v>
      </c>
      <c r="H1721" s="1" t="s">
        <v>525</v>
      </c>
    </row>
    <row r="1722" spans="1:8" x14ac:dyDescent="0.35">
      <c r="A1722" s="1" t="s">
        <v>5589</v>
      </c>
      <c r="B1722" s="1" t="s">
        <v>5590</v>
      </c>
      <c r="C1722" s="1" t="s">
        <v>521</v>
      </c>
      <c r="D1722" s="1" t="s">
        <v>5591</v>
      </c>
      <c r="E1722" s="1" t="s">
        <v>4140</v>
      </c>
      <c r="F1722" s="1" t="s">
        <v>524</v>
      </c>
      <c r="G1722" s="1">
        <v>38127</v>
      </c>
      <c r="H1722" s="1" t="s">
        <v>525</v>
      </c>
    </row>
    <row r="1723" spans="1:8" x14ac:dyDescent="0.35">
      <c r="A1723" s="1" t="s">
        <v>507</v>
      </c>
      <c r="B1723" s="1" t="s">
        <v>5592</v>
      </c>
      <c r="C1723" s="1" t="s">
        <v>1639</v>
      </c>
      <c r="D1723" s="1" t="s">
        <v>5593</v>
      </c>
      <c r="E1723" s="1" t="s">
        <v>4140</v>
      </c>
      <c r="F1723" s="1" t="s">
        <v>524</v>
      </c>
      <c r="G1723" s="1">
        <v>38106</v>
      </c>
      <c r="H1723" s="1" t="s">
        <v>1641</v>
      </c>
    </row>
    <row r="1724" spans="1:8" x14ac:dyDescent="0.35">
      <c r="A1724" s="1" t="s">
        <v>509</v>
      </c>
      <c r="B1724" s="1" t="s">
        <v>5594</v>
      </c>
      <c r="C1724" s="1" t="s">
        <v>521</v>
      </c>
      <c r="D1724" s="1" t="s">
        <v>5595</v>
      </c>
      <c r="E1724" s="1" t="s">
        <v>4140</v>
      </c>
      <c r="F1724" s="1" t="s">
        <v>524</v>
      </c>
      <c r="G1724" s="1">
        <v>38127</v>
      </c>
      <c r="H1724" s="1" t="s">
        <v>525</v>
      </c>
    </row>
    <row r="1725" spans="1:8" x14ac:dyDescent="0.35">
      <c r="A1725" s="1" t="s">
        <v>510</v>
      </c>
      <c r="B1725" s="1" t="s">
        <v>5596</v>
      </c>
      <c r="C1725" s="1" t="s">
        <v>521</v>
      </c>
      <c r="D1725" s="1" t="s">
        <v>5597</v>
      </c>
      <c r="E1725" s="1" t="s">
        <v>4140</v>
      </c>
      <c r="F1725" s="1" t="s">
        <v>524</v>
      </c>
      <c r="G1725" s="1">
        <v>38116</v>
      </c>
      <c r="H1725" s="1" t="s">
        <v>525</v>
      </c>
    </row>
    <row r="1726" spans="1:8" x14ac:dyDescent="0.35">
      <c r="A1726" s="1" t="s">
        <v>5598</v>
      </c>
      <c r="B1726" s="1" t="s">
        <v>5599</v>
      </c>
      <c r="C1726" s="1" t="s">
        <v>1639</v>
      </c>
      <c r="D1726" s="1" t="s">
        <v>5600</v>
      </c>
      <c r="E1726" s="1" t="s">
        <v>1270</v>
      </c>
      <c r="F1726" s="1" t="s">
        <v>524</v>
      </c>
      <c r="G1726" s="1">
        <v>37207</v>
      </c>
      <c r="H1726" s="1" t="s">
        <v>1641</v>
      </c>
    </row>
    <row r="1727" spans="1:8" x14ac:dyDescent="0.35">
      <c r="A1727" s="1" t="s">
        <v>5601</v>
      </c>
      <c r="B1727" s="1" t="s">
        <v>5602</v>
      </c>
      <c r="C1727" s="1" t="s">
        <v>1639</v>
      </c>
      <c r="D1727" s="1" t="s">
        <v>5603</v>
      </c>
      <c r="E1727" s="1" t="s">
        <v>4140</v>
      </c>
      <c r="F1727" s="1" t="s">
        <v>524</v>
      </c>
      <c r="G1727" s="1">
        <v>38112</v>
      </c>
      <c r="H1727" s="1" t="s">
        <v>1641</v>
      </c>
    </row>
    <row r="1728" spans="1:8" x14ac:dyDescent="0.35">
      <c r="A1728" s="1" t="s">
        <v>5604</v>
      </c>
      <c r="B1728" s="1" t="s">
        <v>5605</v>
      </c>
      <c r="C1728" s="1" t="s">
        <v>1639</v>
      </c>
      <c r="D1728" s="1" t="s">
        <v>5606</v>
      </c>
      <c r="E1728" s="1" t="s">
        <v>4140</v>
      </c>
      <c r="F1728" s="1" t="s">
        <v>524</v>
      </c>
      <c r="G1728" s="1">
        <v>38107</v>
      </c>
      <c r="H1728" s="1" t="s">
        <v>1641</v>
      </c>
    </row>
    <row r="1729" spans="1:8" x14ac:dyDescent="0.35">
      <c r="A1729" s="1" t="s">
        <v>5607</v>
      </c>
      <c r="B1729" s="1" t="s">
        <v>5608</v>
      </c>
      <c r="C1729" s="1" t="s">
        <v>1639</v>
      </c>
      <c r="D1729" s="1" t="s">
        <v>5609</v>
      </c>
      <c r="E1729" s="1" t="s">
        <v>4140</v>
      </c>
      <c r="F1729" s="1" t="s">
        <v>524</v>
      </c>
      <c r="G1729" s="1">
        <v>38106</v>
      </c>
      <c r="H1729" s="1" t="s">
        <v>1641</v>
      </c>
    </row>
    <row r="1730" spans="1:8" x14ac:dyDescent="0.35">
      <c r="A1730" s="1" t="s">
        <v>5610</v>
      </c>
      <c r="B1730" s="1" t="s">
        <v>5611</v>
      </c>
      <c r="C1730" s="1" t="s">
        <v>1639</v>
      </c>
      <c r="D1730" s="1" t="s">
        <v>5612</v>
      </c>
      <c r="E1730" s="1" t="s">
        <v>4140</v>
      </c>
      <c r="F1730" s="1" t="s">
        <v>524</v>
      </c>
      <c r="G1730" s="1">
        <v>38114</v>
      </c>
      <c r="H1730" s="1" t="s">
        <v>1641</v>
      </c>
    </row>
    <row r="1731" spans="1:8" x14ac:dyDescent="0.35">
      <c r="A1731" s="1" t="s">
        <v>5613</v>
      </c>
      <c r="B1731" s="1" t="s">
        <v>5614</v>
      </c>
      <c r="C1731" s="1" t="s">
        <v>1639</v>
      </c>
      <c r="D1731" s="1" t="s">
        <v>5612</v>
      </c>
      <c r="E1731" s="1" t="s">
        <v>4140</v>
      </c>
      <c r="F1731" s="1" t="s">
        <v>524</v>
      </c>
      <c r="G1731" s="1">
        <v>38114</v>
      </c>
      <c r="H1731" s="1" t="s">
        <v>1641</v>
      </c>
    </row>
    <row r="1732" spans="1:8" x14ac:dyDescent="0.35">
      <c r="A1732" s="1" t="s">
        <v>5615</v>
      </c>
      <c r="B1732" s="1" t="s">
        <v>5616</v>
      </c>
      <c r="C1732" s="1" t="s">
        <v>1639</v>
      </c>
      <c r="D1732" s="1" t="s">
        <v>5617</v>
      </c>
      <c r="E1732" s="1" t="s">
        <v>4140</v>
      </c>
      <c r="F1732" s="1" t="s">
        <v>524</v>
      </c>
      <c r="G1732" s="1">
        <v>38108</v>
      </c>
      <c r="H1732" s="1" t="s">
        <v>1641</v>
      </c>
    </row>
    <row r="1733" spans="1:8" x14ac:dyDescent="0.35">
      <c r="A1733" s="1" t="s">
        <v>5618</v>
      </c>
      <c r="B1733" s="1" t="s">
        <v>5619</v>
      </c>
      <c r="C1733" s="1" t="s">
        <v>1639</v>
      </c>
      <c r="D1733" s="1" t="s">
        <v>5620</v>
      </c>
      <c r="E1733" s="1" t="s">
        <v>4140</v>
      </c>
      <c r="F1733" s="1" t="s">
        <v>524</v>
      </c>
      <c r="G1733" s="1">
        <v>38128</v>
      </c>
      <c r="H1733" s="1" t="s">
        <v>1641</v>
      </c>
    </row>
    <row r="1734" spans="1:8" x14ac:dyDescent="0.35">
      <c r="A1734" s="1" t="s">
        <v>511</v>
      </c>
      <c r="B1734" s="1" t="s">
        <v>5621</v>
      </c>
      <c r="C1734" s="1" t="s">
        <v>1639</v>
      </c>
      <c r="D1734" s="1" t="s">
        <v>5622</v>
      </c>
      <c r="E1734" s="1" t="s">
        <v>4140</v>
      </c>
      <c r="F1734" s="1" t="s">
        <v>524</v>
      </c>
      <c r="G1734" s="1">
        <v>38109</v>
      </c>
      <c r="H1734" s="1" t="s">
        <v>1641</v>
      </c>
    </row>
    <row r="1735" spans="1:8" x14ac:dyDescent="0.35">
      <c r="A1735" s="1" t="s">
        <v>5623</v>
      </c>
      <c r="B1735" s="1" t="s">
        <v>5624</v>
      </c>
      <c r="C1735" s="1" t="s">
        <v>1639</v>
      </c>
      <c r="D1735" s="1" t="s">
        <v>5625</v>
      </c>
      <c r="E1735" s="1" t="s">
        <v>4140</v>
      </c>
      <c r="F1735" s="1" t="s">
        <v>524</v>
      </c>
      <c r="G1735" s="1">
        <v>38128</v>
      </c>
      <c r="H1735" s="1" t="s">
        <v>1641</v>
      </c>
    </row>
    <row r="1736" spans="1:8" x14ac:dyDescent="0.35">
      <c r="A1736" s="1" t="s">
        <v>512</v>
      </c>
      <c r="B1736" s="1" t="s">
        <v>5626</v>
      </c>
      <c r="C1736" s="1" t="s">
        <v>1639</v>
      </c>
      <c r="D1736" s="1" t="s">
        <v>5627</v>
      </c>
      <c r="E1736" s="1" t="s">
        <v>4140</v>
      </c>
      <c r="F1736" s="1" t="s">
        <v>524</v>
      </c>
      <c r="G1736" s="1">
        <v>38127</v>
      </c>
      <c r="H1736" s="1" t="s">
        <v>1641</v>
      </c>
    </row>
    <row r="1737" spans="1:8" x14ac:dyDescent="0.35">
      <c r="A1737" s="1" t="s">
        <v>5628</v>
      </c>
      <c r="B1737" s="1" t="s">
        <v>5629</v>
      </c>
      <c r="C1737" s="1" t="s">
        <v>1639</v>
      </c>
      <c r="D1737" s="1" t="s">
        <v>5630</v>
      </c>
      <c r="E1737" s="1" t="s">
        <v>4140</v>
      </c>
      <c r="F1737" s="1" t="s">
        <v>524</v>
      </c>
      <c r="G1737" s="1">
        <v>38112</v>
      </c>
      <c r="H1737" s="1" t="s">
        <v>1641</v>
      </c>
    </row>
    <row r="1738" spans="1:8" x14ac:dyDescent="0.35">
      <c r="A1738" s="1" t="s">
        <v>5631</v>
      </c>
      <c r="B1738" s="1" t="s">
        <v>5632</v>
      </c>
      <c r="C1738" s="1" t="s">
        <v>1639</v>
      </c>
      <c r="D1738" s="1" t="s">
        <v>5633</v>
      </c>
      <c r="E1738" s="1" t="s">
        <v>4140</v>
      </c>
      <c r="F1738" s="1" t="s">
        <v>524</v>
      </c>
      <c r="G1738" s="1">
        <v>38109</v>
      </c>
      <c r="H1738" s="1" t="s">
        <v>1641</v>
      </c>
    </row>
    <row r="1739" spans="1:8" x14ac:dyDescent="0.35">
      <c r="A1739" s="1" t="s">
        <v>5634</v>
      </c>
      <c r="B1739" s="1" t="s">
        <v>5635</v>
      </c>
      <c r="C1739" s="1" t="s">
        <v>1639</v>
      </c>
      <c r="D1739" s="1" t="s">
        <v>5636</v>
      </c>
      <c r="E1739" s="1" t="s">
        <v>1278</v>
      </c>
      <c r="F1739" s="1" t="s">
        <v>524</v>
      </c>
      <c r="G1739" s="1">
        <v>37115</v>
      </c>
      <c r="H1739" s="1" t="s">
        <v>1641</v>
      </c>
    </row>
    <row r="1740" spans="1:8" x14ac:dyDescent="0.35">
      <c r="A1740" s="1" t="s">
        <v>5637</v>
      </c>
      <c r="B1740" s="1" t="s">
        <v>5638</v>
      </c>
      <c r="C1740" s="1" t="s">
        <v>1639</v>
      </c>
      <c r="D1740" s="1" t="s">
        <v>5639</v>
      </c>
      <c r="E1740" s="1" t="s">
        <v>4140</v>
      </c>
      <c r="F1740" s="1" t="s">
        <v>524</v>
      </c>
      <c r="G1740" s="1">
        <v>38127</v>
      </c>
      <c r="H1740" s="1" t="s">
        <v>1641</v>
      </c>
    </row>
    <row r="1741" spans="1:8" x14ac:dyDescent="0.35">
      <c r="A1741" s="1" t="s">
        <v>5640</v>
      </c>
      <c r="B1741" s="1" t="s">
        <v>5641</v>
      </c>
      <c r="C1741" s="1" t="s">
        <v>1639</v>
      </c>
      <c r="D1741" s="1" t="s">
        <v>5642</v>
      </c>
      <c r="E1741" s="1" t="s">
        <v>4140</v>
      </c>
      <c r="F1741" s="1" t="s">
        <v>524</v>
      </c>
      <c r="G1741" s="1">
        <v>38118</v>
      </c>
      <c r="H1741" s="1" t="s">
        <v>1641</v>
      </c>
    </row>
    <row r="1742" spans="1:8" x14ac:dyDescent="0.35">
      <c r="A1742" s="1" t="s">
        <v>5643</v>
      </c>
      <c r="B1742" s="1" t="s">
        <v>5644</v>
      </c>
      <c r="C1742" s="1" t="s">
        <v>1639</v>
      </c>
      <c r="D1742" s="1" t="s">
        <v>5609</v>
      </c>
      <c r="E1742" s="1" t="s">
        <v>4140</v>
      </c>
      <c r="F1742" s="1" t="s">
        <v>524</v>
      </c>
      <c r="G1742" s="1">
        <v>38106</v>
      </c>
      <c r="H1742" s="1" t="s">
        <v>1641</v>
      </c>
    </row>
    <row r="1743" spans="1:8" x14ac:dyDescent="0.35">
      <c r="A1743" s="1" t="s">
        <v>5645</v>
      </c>
      <c r="B1743" s="1" t="s">
        <v>5646</v>
      </c>
      <c r="C1743" s="1" t="s">
        <v>1639</v>
      </c>
      <c r="D1743" s="1" t="s">
        <v>5647</v>
      </c>
      <c r="E1743" s="1" t="s">
        <v>4140</v>
      </c>
      <c r="F1743" s="1" t="s">
        <v>524</v>
      </c>
      <c r="G1743" s="1">
        <v>38127</v>
      </c>
      <c r="H1743" s="1" t="s">
        <v>1641</v>
      </c>
    </row>
    <row r="1744" spans="1:8" x14ac:dyDescent="0.35">
      <c r="A1744" s="1" t="s">
        <v>5648</v>
      </c>
      <c r="B1744" s="1" t="s">
        <v>5649</v>
      </c>
      <c r="C1744" s="1" t="s">
        <v>1639</v>
      </c>
      <c r="D1744" s="1" t="s">
        <v>5650</v>
      </c>
      <c r="E1744" s="1" t="s">
        <v>4140</v>
      </c>
      <c r="F1744" s="1" t="s">
        <v>524</v>
      </c>
      <c r="G1744" s="1">
        <v>38106</v>
      </c>
      <c r="H1744" s="1" t="s">
        <v>1641</v>
      </c>
    </row>
    <row r="1745" spans="1:8" x14ac:dyDescent="0.35">
      <c r="A1745" s="1" t="s">
        <v>5651</v>
      </c>
      <c r="B1745" s="1" t="s">
        <v>5652</v>
      </c>
      <c r="C1745" s="1" t="s">
        <v>1639</v>
      </c>
      <c r="D1745" s="1" t="s">
        <v>5653</v>
      </c>
      <c r="E1745" s="1" t="s">
        <v>4140</v>
      </c>
      <c r="F1745" s="1" t="s">
        <v>524</v>
      </c>
      <c r="G1745" s="1">
        <v>38107</v>
      </c>
      <c r="H1745" s="1" t="s">
        <v>1641</v>
      </c>
    </row>
    <row r="1746" spans="1:8" x14ac:dyDescent="0.35">
      <c r="A1746" s="1" t="s">
        <v>5654</v>
      </c>
      <c r="B1746" s="1" t="s">
        <v>5655</v>
      </c>
      <c r="C1746" s="1" t="s">
        <v>1639</v>
      </c>
      <c r="D1746" s="1" t="s">
        <v>5656</v>
      </c>
      <c r="E1746" s="1" t="s">
        <v>4140</v>
      </c>
      <c r="F1746" s="1" t="s">
        <v>524</v>
      </c>
      <c r="G1746" s="1">
        <v>38106</v>
      </c>
      <c r="H1746" s="1" t="s">
        <v>1641</v>
      </c>
    </row>
    <row r="1747" spans="1:8" x14ac:dyDescent="0.35">
      <c r="A1747" s="1" t="s">
        <v>5657</v>
      </c>
      <c r="B1747" s="1" t="s">
        <v>5658</v>
      </c>
      <c r="C1747" s="1" t="s">
        <v>1639</v>
      </c>
      <c r="D1747" s="1" t="s">
        <v>5659</v>
      </c>
      <c r="E1747" s="1" t="s">
        <v>4140</v>
      </c>
      <c r="F1747" s="1" t="s">
        <v>524</v>
      </c>
      <c r="G1747" s="1">
        <v>38115</v>
      </c>
      <c r="H1747" s="1" t="s">
        <v>1641</v>
      </c>
    </row>
    <row r="1748" spans="1:8" x14ac:dyDescent="0.35">
      <c r="A1748" s="1" t="s">
        <v>513</v>
      </c>
      <c r="B1748" s="1" t="s">
        <v>5660</v>
      </c>
      <c r="C1748" s="1" t="s">
        <v>1639</v>
      </c>
      <c r="D1748" s="1" t="s">
        <v>5661</v>
      </c>
      <c r="E1748" s="1" t="s">
        <v>4140</v>
      </c>
      <c r="F1748" s="1" t="s">
        <v>524</v>
      </c>
      <c r="G1748" s="1">
        <v>38116</v>
      </c>
      <c r="H1748" s="1" t="s">
        <v>1641</v>
      </c>
    </row>
    <row r="1749" spans="1:8" x14ac:dyDescent="0.35">
      <c r="A1749" s="1" t="s">
        <v>5662</v>
      </c>
      <c r="B1749" s="1" t="s">
        <v>5663</v>
      </c>
      <c r="C1749" s="1" t="s">
        <v>1639</v>
      </c>
      <c r="D1749" s="1" t="s">
        <v>5664</v>
      </c>
      <c r="E1749" s="1" t="s">
        <v>1270</v>
      </c>
      <c r="F1749" s="1" t="s">
        <v>524</v>
      </c>
      <c r="G1749" s="1">
        <v>37208</v>
      </c>
      <c r="H1749" s="1" t="s">
        <v>1641</v>
      </c>
    </row>
    <row r="1750" spans="1:8" x14ac:dyDescent="0.35">
      <c r="A1750" s="1" t="s">
        <v>5665</v>
      </c>
      <c r="B1750" s="1" t="s">
        <v>5666</v>
      </c>
      <c r="C1750" s="1" t="s">
        <v>1639</v>
      </c>
      <c r="D1750" s="1" t="s">
        <v>5667</v>
      </c>
      <c r="E1750" s="1" t="s">
        <v>4140</v>
      </c>
      <c r="F1750" s="1" t="s">
        <v>524</v>
      </c>
      <c r="G1750" s="1">
        <v>38115</v>
      </c>
      <c r="H1750" s="1" t="s">
        <v>1641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0"/>
  <sheetViews>
    <sheetView zoomScaleNormal="100" workbookViewId="0">
      <selection activeCell="B1" sqref="B1"/>
    </sheetView>
  </sheetViews>
  <sheetFormatPr defaultColWidth="8.54296875" defaultRowHeight="14.5" x14ac:dyDescent="0.35"/>
  <cols>
    <col min="1" max="1" width="31.7265625" customWidth="1"/>
    <col min="2" max="2" width="16.453125" customWidth="1"/>
  </cols>
  <sheetData>
    <row r="1" spans="1:2" x14ac:dyDescent="0.35">
      <c r="A1" t="s">
        <v>5668</v>
      </c>
      <c r="B1" t="s">
        <v>5669</v>
      </c>
    </row>
    <row r="2" spans="1:2" x14ac:dyDescent="0.35">
      <c r="A2" t="s">
        <v>17</v>
      </c>
      <c r="B2">
        <v>10</v>
      </c>
    </row>
    <row r="3" spans="1:2" x14ac:dyDescent="0.35">
      <c r="A3" t="s">
        <v>21</v>
      </c>
      <c r="B3">
        <v>12</v>
      </c>
    </row>
    <row r="4" spans="1:2" x14ac:dyDescent="0.35">
      <c r="A4" t="s">
        <v>23</v>
      </c>
      <c r="B4">
        <v>20</v>
      </c>
    </row>
    <row r="5" spans="1:2" x14ac:dyDescent="0.35">
      <c r="A5" t="s">
        <v>27</v>
      </c>
      <c r="B5">
        <v>30</v>
      </c>
    </row>
    <row r="6" spans="1:2" x14ac:dyDescent="0.35">
      <c r="A6" t="s">
        <v>30</v>
      </c>
      <c r="B6">
        <v>40</v>
      </c>
    </row>
    <row r="7" spans="1:2" x14ac:dyDescent="0.35">
      <c r="A7" t="s">
        <v>32</v>
      </c>
      <c r="B7">
        <v>50</v>
      </c>
    </row>
    <row r="8" spans="1:2" x14ac:dyDescent="0.35">
      <c r="A8" t="s">
        <v>35</v>
      </c>
      <c r="B8">
        <v>51</v>
      </c>
    </row>
    <row r="9" spans="1:2" x14ac:dyDescent="0.35">
      <c r="A9" t="s">
        <v>37</v>
      </c>
      <c r="B9">
        <v>52</v>
      </c>
    </row>
    <row r="10" spans="1:2" x14ac:dyDescent="0.35">
      <c r="A10" t="s">
        <v>39</v>
      </c>
      <c r="B10">
        <v>60</v>
      </c>
    </row>
    <row r="11" spans="1:2" x14ac:dyDescent="0.35">
      <c r="A11" t="s">
        <v>46</v>
      </c>
      <c r="B11">
        <v>61</v>
      </c>
    </row>
    <row r="12" spans="1:2" x14ac:dyDescent="0.35">
      <c r="A12" t="s">
        <v>49</v>
      </c>
      <c r="B12">
        <v>70</v>
      </c>
    </row>
    <row r="13" spans="1:2" x14ac:dyDescent="0.35">
      <c r="A13" t="s">
        <v>52</v>
      </c>
      <c r="B13">
        <v>80</v>
      </c>
    </row>
    <row r="14" spans="1:2" x14ac:dyDescent="0.35">
      <c r="A14" t="s">
        <v>54</v>
      </c>
      <c r="B14">
        <v>92</v>
      </c>
    </row>
    <row r="15" spans="1:2" x14ac:dyDescent="0.35">
      <c r="A15" t="s">
        <v>56</v>
      </c>
      <c r="B15">
        <v>93</v>
      </c>
    </row>
    <row r="16" spans="1:2" x14ac:dyDescent="0.35">
      <c r="A16" t="s">
        <v>58</v>
      </c>
      <c r="B16">
        <v>94</v>
      </c>
    </row>
    <row r="17" spans="1:2" x14ac:dyDescent="0.35">
      <c r="A17" t="s">
        <v>60</v>
      </c>
      <c r="B17">
        <v>95</v>
      </c>
    </row>
    <row r="18" spans="1:2" x14ac:dyDescent="0.35">
      <c r="A18" t="s">
        <v>62</v>
      </c>
      <c r="B18">
        <v>97</v>
      </c>
    </row>
    <row r="19" spans="1:2" x14ac:dyDescent="0.35">
      <c r="A19" t="s">
        <v>64</v>
      </c>
      <c r="B19">
        <v>100</v>
      </c>
    </row>
    <row r="20" spans="1:2" x14ac:dyDescent="0.35">
      <c r="A20" t="s">
        <v>69</v>
      </c>
      <c r="B20">
        <v>101</v>
      </c>
    </row>
    <row r="21" spans="1:2" x14ac:dyDescent="0.35">
      <c r="A21" t="s">
        <v>71</v>
      </c>
      <c r="B21">
        <v>110</v>
      </c>
    </row>
    <row r="22" spans="1:2" x14ac:dyDescent="0.35">
      <c r="A22" t="s">
        <v>75</v>
      </c>
      <c r="B22">
        <v>120</v>
      </c>
    </row>
    <row r="23" spans="1:2" x14ac:dyDescent="0.35">
      <c r="A23" t="s">
        <v>77</v>
      </c>
      <c r="B23">
        <v>130</v>
      </c>
    </row>
    <row r="24" spans="1:2" x14ac:dyDescent="0.35">
      <c r="A24" t="s">
        <v>80</v>
      </c>
      <c r="B24">
        <v>140</v>
      </c>
    </row>
    <row r="25" spans="1:2" x14ac:dyDescent="0.35">
      <c r="A25" t="s">
        <v>82</v>
      </c>
      <c r="B25">
        <v>150</v>
      </c>
    </row>
    <row r="26" spans="1:2" x14ac:dyDescent="0.35">
      <c r="A26" t="s">
        <v>85</v>
      </c>
      <c r="B26">
        <v>160</v>
      </c>
    </row>
    <row r="27" spans="1:2" x14ac:dyDescent="0.35">
      <c r="A27" t="s">
        <v>87</v>
      </c>
      <c r="B27">
        <v>162</v>
      </c>
    </row>
    <row r="28" spans="1:2" x14ac:dyDescent="0.35">
      <c r="A28" t="s">
        <v>89</v>
      </c>
      <c r="B28">
        <v>170</v>
      </c>
    </row>
    <row r="29" spans="1:2" x14ac:dyDescent="0.35">
      <c r="A29" t="s">
        <v>91</v>
      </c>
      <c r="B29">
        <v>180</v>
      </c>
    </row>
    <row r="30" spans="1:2" x14ac:dyDescent="0.35">
      <c r="A30" t="s">
        <v>95</v>
      </c>
      <c r="B30">
        <v>190</v>
      </c>
    </row>
    <row r="31" spans="1:2" x14ac:dyDescent="0.35">
      <c r="A31" t="s">
        <v>123</v>
      </c>
      <c r="B31">
        <v>200</v>
      </c>
    </row>
    <row r="32" spans="1:2" x14ac:dyDescent="0.35">
      <c r="A32" t="s">
        <v>125</v>
      </c>
      <c r="B32">
        <v>210</v>
      </c>
    </row>
    <row r="33" spans="1:2" x14ac:dyDescent="0.35">
      <c r="A33" t="s">
        <v>127</v>
      </c>
      <c r="B33">
        <v>220</v>
      </c>
    </row>
    <row r="34" spans="1:2" x14ac:dyDescent="0.35">
      <c r="A34" t="s">
        <v>130</v>
      </c>
      <c r="B34">
        <v>230</v>
      </c>
    </row>
    <row r="35" spans="1:2" x14ac:dyDescent="0.35">
      <c r="A35" t="s">
        <v>132</v>
      </c>
      <c r="B35">
        <v>231</v>
      </c>
    </row>
    <row r="36" spans="1:2" x14ac:dyDescent="0.35">
      <c r="A36" t="s">
        <v>134</v>
      </c>
      <c r="B36">
        <v>240</v>
      </c>
    </row>
    <row r="37" spans="1:2" x14ac:dyDescent="0.35">
      <c r="A37" t="s">
        <v>136</v>
      </c>
      <c r="B37">
        <v>250</v>
      </c>
    </row>
    <row r="38" spans="1:2" x14ac:dyDescent="0.35">
      <c r="A38" t="s">
        <v>138</v>
      </c>
      <c r="B38">
        <v>260</v>
      </c>
    </row>
    <row r="39" spans="1:2" x14ac:dyDescent="0.35">
      <c r="A39" t="s">
        <v>141</v>
      </c>
      <c r="B39">
        <v>271</v>
      </c>
    </row>
    <row r="40" spans="1:2" x14ac:dyDescent="0.35">
      <c r="A40" t="s">
        <v>143</v>
      </c>
      <c r="B40">
        <v>272</v>
      </c>
    </row>
    <row r="41" spans="1:2" x14ac:dyDescent="0.35">
      <c r="A41" t="s">
        <v>145</v>
      </c>
      <c r="B41">
        <v>273</v>
      </c>
    </row>
    <row r="42" spans="1:2" x14ac:dyDescent="0.35">
      <c r="A42" t="s">
        <v>147</v>
      </c>
      <c r="B42">
        <v>274</v>
      </c>
    </row>
    <row r="43" spans="1:2" x14ac:dyDescent="0.35">
      <c r="A43" t="s">
        <v>149</v>
      </c>
      <c r="B43">
        <v>275</v>
      </c>
    </row>
    <row r="44" spans="1:2" x14ac:dyDescent="0.35">
      <c r="A44" t="s">
        <v>152</v>
      </c>
      <c r="B44">
        <v>280</v>
      </c>
    </row>
    <row r="45" spans="1:2" x14ac:dyDescent="0.35">
      <c r="A45" t="s">
        <v>155</v>
      </c>
      <c r="B45">
        <v>290</v>
      </c>
    </row>
    <row r="46" spans="1:2" x14ac:dyDescent="0.35">
      <c r="A46" t="s">
        <v>159</v>
      </c>
      <c r="B46">
        <v>300</v>
      </c>
    </row>
    <row r="47" spans="1:2" x14ac:dyDescent="0.35">
      <c r="A47" t="s">
        <v>164</v>
      </c>
      <c r="B47">
        <v>301</v>
      </c>
    </row>
    <row r="48" spans="1:2" x14ac:dyDescent="0.35">
      <c r="A48" t="s">
        <v>166</v>
      </c>
      <c r="B48">
        <v>310</v>
      </c>
    </row>
    <row r="49" spans="1:2" x14ac:dyDescent="0.35">
      <c r="A49" t="s">
        <v>168</v>
      </c>
      <c r="B49">
        <v>320</v>
      </c>
    </row>
    <row r="50" spans="1:2" x14ac:dyDescent="0.35">
      <c r="A50" t="s">
        <v>171</v>
      </c>
      <c r="B50">
        <v>330</v>
      </c>
    </row>
    <row r="51" spans="1:2" x14ac:dyDescent="0.35">
      <c r="A51" t="s">
        <v>194</v>
      </c>
      <c r="B51">
        <v>340</v>
      </c>
    </row>
    <row r="52" spans="1:2" x14ac:dyDescent="0.35">
      <c r="A52" t="s">
        <v>196</v>
      </c>
      <c r="B52">
        <v>350</v>
      </c>
    </row>
    <row r="53" spans="1:2" x14ac:dyDescent="0.35">
      <c r="A53" t="s">
        <v>199</v>
      </c>
      <c r="B53">
        <v>360</v>
      </c>
    </row>
    <row r="54" spans="1:2" x14ac:dyDescent="0.35">
      <c r="A54" t="s">
        <v>201</v>
      </c>
      <c r="B54">
        <v>370</v>
      </c>
    </row>
    <row r="55" spans="1:2" x14ac:dyDescent="0.35">
      <c r="A55" t="s">
        <v>205</v>
      </c>
      <c r="B55">
        <v>380</v>
      </c>
    </row>
    <row r="56" spans="1:2" x14ac:dyDescent="0.35">
      <c r="A56" t="s">
        <v>207</v>
      </c>
      <c r="B56">
        <v>390</v>
      </c>
    </row>
    <row r="57" spans="1:2" x14ac:dyDescent="0.35">
      <c r="A57" t="s">
        <v>210</v>
      </c>
      <c r="B57">
        <v>400</v>
      </c>
    </row>
    <row r="58" spans="1:2" x14ac:dyDescent="0.35">
      <c r="A58" t="s">
        <v>212</v>
      </c>
      <c r="B58">
        <v>410</v>
      </c>
    </row>
    <row r="59" spans="1:2" x14ac:dyDescent="0.35">
      <c r="A59" t="s">
        <v>215</v>
      </c>
      <c r="B59">
        <v>420</v>
      </c>
    </row>
    <row r="60" spans="1:2" x14ac:dyDescent="0.35">
      <c r="A60" t="s">
        <v>217</v>
      </c>
      <c r="B60">
        <v>430</v>
      </c>
    </row>
    <row r="61" spans="1:2" x14ac:dyDescent="0.35">
      <c r="A61" t="s">
        <v>220</v>
      </c>
      <c r="B61">
        <v>440</v>
      </c>
    </row>
    <row r="62" spans="1:2" x14ac:dyDescent="0.35">
      <c r="A62" t="s">
        <v>222</v>
      </c>
      <c r="B62">
        <v>450</v>
      </c>
    </row>
    <row r="63" spans="1:2" x14ac:dyDescent="0.35">
      <c r="A63" t="s">
        <v>224</v>
      </c>
      <c r="B63">
        <v>460</v>
      </c>
    </row>
    <row r="64" spans="1:2" x14ac:dyDescent="0.35">
      <c r="A64" t="s">
        <v>226</v>
      </c>
      <c r="B64">
        <v>470</v>
      </c>
    </row>
    <row r="65" spans="1:2" x14ac:dyDescent="0.35">
      <c r="A65" t="s">
        <v>244</v>
      </c>
      <c r="B65">
        <v>480</v>
      </c>
    </row>
    <row r="66" spans="1:2" x14ac:dyDescent="0.35">
      <c r="A66" t="s">
        <v>246</v>
      </c>
      <c r="B66">
        <v>490</v>
      </c>
    </row>
    <row r="67" spans="1:2" x14ac:dyDescent="0.35">
      <c r="A67" t="s">
        <v>249</v>
      </c>
      <c r="B67">
        <v>500</v>
      </c>
    </row>
    <row r="68" spans="1:2" x14ac:dyDescent="0.35">
      <c r="A68" t="s">
        <v>253</v>
      </c>
      <c r="B68">
        <v>510</v>
      </c>
    </row>
    <row r="69" spans="1:2" x14ac:dyDescent="0.35">
      <c r="A69" t="s">
        <v>255</v>
      </c>
      <c r="B69">
        <v>520</v>
      </c>
    </row>
    <row r="70" spans="1:2" x14ac:dyDescent="0.35">
      <c r="A70" t="s">
        <v>257</v>
      </c>
      <c r="B70">
        <v>521</v>
      </c>
    </row>
    <row r="71" spans="1:2" x14ac:dyDescent="0.35">
      <c r="A71" t="s">
        <v>259</v>
      </c>
      <c r="B71">
        <v>530</v>
      </c>
    </row>
    <row r="72" spans="1:2" x14ac:dyDescent="0.35">
      <c r="A72" t="s">
        <v>262</v>
      </c>
      <c r="B72">
        <v>531</v>
      </c>
    </row>
    <row r="73" spans="1:2" x14ac:dyDescent="0.35">
      <c r="A73" t="s">
        <v>264</v>
      </c>
      <c r="B73">
        <v>540</v>
      </c>
    </row>
    <row r="74" spans="1:2" x14ac:dyDescent="0.35">
      <c r="A74" t="s">
        <v>267</v>
      </c>
      <c r="B74">
        <v>550</v>
      </c>
    </row>
    <row r="75" spans="1:2" x14ac:dyDescent="0.35">
      <c r="A75" t="s">
        <v>270</v>
      </c>
      <c r="B75">
        <v>560</v>
      </c>
    </row>
    <row r="76" spans="1:2" x14ac:dyDescent="0.35">
      <c r="A76" t="s">
        <v>273</v>
      </c>
      <c r="B76">
        <v>570</v>
      </c>
    </row>
    <row r="77" spans="1:2" x14ac:dyDescent="0.35">
      <c r="A77" t="s">
        <v>278</v>
      </c>
      <c r="B77">
        <v>580</v>
      </c>
    </row>
    <row r="78" spans="1:2" x14ac:dyDescent="0.35">
      <c r="A78" t="s">
        <v>282</v>
      </c>
      <c r="B78">
        <v>581</v>
      </c>
    </row>
    <row r="79" spans="1:2" x14ac:dyDescent="0.35">
      <c r="A79" t="s">
        <v>284</v>
      </c>
      <c r="B79">
        <v>590</v>
      </c>
    </row>
    <row r="80" spans="1:2" x14ac:dyDescent="0.35">
      <c r="A80" t="s">
        <v>288</v>
      </c>
      <c r="B80">
        <v>600</v>
      </c>
    </row>
    <row r="81" spans="1:2" x14ac:dyDescent="0.35">
      <c r="A81" t="s">
        <v>296</v>
      </c>
      <c r="B81">
        <v>610</v>
      </c>
    </row>
    <row r="82" spans="1:2" x14ac:dyDescent="0.35">
      <c r="A82" t="s">
        <v>298</v>
      </c>
      <c r="B82">
        <v>620</v>
      </c>
    </row>
    <row r="83" spans="1:2" x14ac:dyDescent="0.35">
      <c r="A83" t="s">
        <v>302</v>
      </c>
      <c r="B83">
        <v>630</v>
      </c>
    </row>
    <row r="84" spans="1:2" x14ac:dyDescent="0.35">
      <c r="A84" t="s">
        <v>311</v>
      </c>
      <c r="B84">
        <v>640</v>
      </c>
    </row>
    <row r="85" spans="1:2" x14ac:dyDescent="0.35">
      <c r="A85" t="s">
        <v>313</v>
      </c>
      <c r="B85">
        <v>650</v>
      </c>
    </row>
    <row r="86" spans="1:2" x14ac:dyDescent="0.35">
      <c r="A86" t="s">
        <v>318</v>
      </c>
      <c r="B86">
        <v>660</v>
      </c>
    </row>
    <row r="87" spans="1:2" x14ac:dyDescent="0.35">
      <c r="A87" t="s">
        <v>321</v>
      </c>
      <c r="B87">
        <v>661</v>
      </c>
    </row>
    <row r="88" spans="1:2" x14ac:dyDescent="0.35">
      <c r="A88" t="s">
        <v>323</v>
      </c>
      <c r="B88">
        <v>670</v>
      </c>
    </row>
    <row r="89" spans="1:2" x14ac:dyDescent="0.35">
      <c r="A89" t="s">
        <v>325</v>
      </c>
      <c r="B89">
        <v>680</v>
      </c>
    </row>
    <row r="90" spans="1:2" x14ac:dyDescent="0.35">
      <c r="A90" t="s">
        <v>327</v>
      </c>
      <c r="B90">
        <v>690</v>
      </c>
    </row>
    <row r="91" spans="1:2" x14ac:dyDescent="0.35">
      <c r="A91" t="s">
        <v>329</v>
      </c>
      <c r="B91">
        <v>700</v>
      </c>
    </row>
    <row r="92" spans="1:2" x14ac:dyDescent="0.35">
      <c r="A92" t="s">
        <v>332</v>
      </c>
      <c r="B92">
        <v>710</v>
      </c>
    </row>
    <row r="93" spans="1:2" x14ac:dyDescent="0.35">
      <c r="A93" t="s">
        <v>336</v>
      </c>
      <c r="B93">
        <v>720</v>
      </c>
    </row>
    <row r="94" spans="1:2" x14ac:dyDescent="0.35">
      <c r="A94" t="s">
        <v>338</v>
      </c>
      <c r="B94">
        <v>730</v>
      </c>
    </row>
    <row r="95" spans="1:2" x14ac:dyDescent="0.35">
      <c r="A95" t="s">
        <v>345</v>
      </c>
      <c r="B95">
        <v>740</v>
      </c>
    </row>
    <row r="96" spans="1:2" x14ac:dyDescent="0.35">
      <c r="A96" t="s">
        <v>352</v>
      </c>
      <c r="B96">
        <v>750</v>
      </c>
    </row>
    <row r="97" spans="1:2" x14ac:dyDescent="0.35">
      <c r="A97" t="s">
        <v>363</v>
      </c>
      <c r="B97">
        <v>760</v>
      </c>
    </row>
    <row r="98" spans="1:2" x14ac:dyDescent="0.35">
      <c r="A98" t="s">
        <v>365</v>
      </c>
      <c r="B98">
        <v>761</v>
      </c>
    </row>
    <row r="99" spans="1:2" x14ac:dyDescent="0.35">
      <c r="A99" t="s">
        <v>367</v>
      </c>
      <c r="B99">
        <v>770</v>
      </c>
    </row>
    <row r="100" spans="1:2" x14ac:dyDescent="0.35">
      <c r="A100" t="s">
        <v>369</v>
      </c>
      <c r="B100">
        <v>780</v>
      </c>
    </row>
    <row r="101" spans="1:2" x14ac:dyDescent="0.35">
      <c r="A101" t="s">
        <v>376</v>
      </c>
      <c r="B101">
        <v>792</v>
      </c>
    </row>
    <row r="102" spans="1:2" x14ac:dyDescent="0.35">
      <c r="A102" t="s">
        <v>418</v>
      </c>
      <c r="B102">
        <v>793</v>
      </c>
    </row>
    <row r="103" spans="1:2" x14ac:dyDescent="0.35">
      <c r="A103" t="s">
        <v>420</v>
      </c>
      <c r="B103">
        <v>794</v>
      </c>
    </row>
    <row r="104" spans="1:2" x14ac:dyDescent="0.35">
      <c r="A104" t="s">
        <v>422</v>
      </c>
      <c r="B104">
        <v>795</v>
      </c>
    </row>
    <row r="105" spans="1:2" x14ac:dyDescent="0.35">
      <c r="A105" t="s">
        <v>424</v>
      </c>
      <c r="B105">
        <v>796</v>
      </c>
    </row>
    <row r="106" spans="1:2" x14ac:dyDescent="0.35">
      <c r="A106" t="s">
        <v>426</v>
      </c>
      <c r="B106">
        <v>798</v>
      </c>
    </row>
    <row r="107" spans="1:2" x14ac:dyDescent="0.35">
      <c r="A107" t="s">
        <v>428</v>
      </c>
      <c r="B107">
        <v>800</v>
      </c>
    </row>
    <row r="108" spans="1:2" x14ac:dyDescent="0.35">
      <c r="A108" t="s">
        <v>431</v>
      </c>
      <c r="B108">
        <v>810</v>
      </c>
    </row>
    <row r="109" spans="1:2" x14ac:dyDescent="0.35">
      <c r="A109" t="s">
        <v>433</v>
      </c>
      <c r="B109">
        <v>820</v>
      </c>
    </row>
    <row r="110" spans="1:2" x14ac:dyDescent="0.35">
      <c r="A110" t="s">
        <v>438</v>
      </c>
      <c r="B110">
        <v>821</v>
      </c>
    </row>
    <row r="111" spans="1:2" x14ac:dyDescent="0.35">
      <c r="A111" t="s">
        <v>441</v>
      </c>
      <c r="B111">
        <v>822</v>
      </c>
    </row>
    <row r="112" spans="1:2" x14ac:dyDescent="0.35">
      <c r="A112" t="s">
        <v>443</v>
      </c>
      <c r="B112">
        <v>830</v>
      </c>
    </row>
    <row r="113" spans="1:2" x14ac:dyDescent="0.35">
      <c r="A113" t="s">
        <v>454</v>
      </c>
      <c r="B113">
        <v>840</v>
      </c>
    </row>
    <row r="114" spans="1:2" x14ac:dyDescent="0.35">
      <c r="A114" t="s">
        <v>458</v>
      </c>
      <c r="B114">
        <v>850</v>
      </c>
    </row>
    <row r="115" spans="1:2" x14ac:dyDescent="0.35">
      <c r="A115" t="s">
        <v>460</v>
      </c>
      <c r="B115">
        <v>860</v>
      </c>
    </row>
    <row r="116" spans="1:2" x14ac:dyDescent="0.35">
      <c r="A116" t="s">
        <v>462</v>
      </c>
      <c r="B116">
        <v>870</v>
      </c>
    </row>
    <row r="117" spans="1:2" x14ac:dyDescent="0.35">
      <c r="A117" t="s">
        <v>464</v>
      </c>
      <c r="B117">
        <v>880</v>
      </c>
    </row>
    <row r="118" spans="1:2" x14ac:dyDescent="0.35">
      <c r="A118" t="s">
        <v>466</v>
      </c>
      <c r="B118">
        <v>890</v>
      </c>
    </row>
    <row r="119" spans="1:2" x14ac:dyDescent="0.35">
      <c r="A119" t="s">
        <v>468</v>
      </c>
      <c r="B119">
        <v>900</v>
      </c>
    </row>
    <row r="120" spans="1:2" x14ac:dyDescent="0.35">
      <c r="A120" t="s">
        <v>473</v>
      </c>
      <c r="B120">
        <v>901</v>
      </c>
    </row>
    <row r="121" spans="1:2" x14ac:dyDescent="0.35">
      <c r="A121" t="s">
        <v>475</v>
      </c>
      <c r="B121">
        <v>910</v>
      </c>
    </row>
    <row r="122" spans="1:2" x14ac:dyDescent="0.35">
      <c r="A122" t="s">
        <v>479</v>
      </c>
      <c r="B122">
        <v>920</v>
      </c>
    </row>
    <row r="123" spans="1:2" x14ac:dyDescent="0.35">
      <c r="A123" t="s">
        <v>484</v>
      </c>
      <c r="B123">
        <v>930</v>
      </c>
    </row>
    <row r="124" spans="1:2" x14ac:dyDescent="0.35">
      <c r="A124" t="s">
        <v>486</v>
      </c>
      <c r="B124">
        <v>940</v>
      </c>
    </row>
    <row r="125" spans="1:2" x14ac:dyDescent="0.35">
      <c r="A125" t="s">
        <v>496</v>
      </c>
      <c r="B125">
        <v>950</v>
      </c>
    </row>
    <row r="126" spans="1:2" x14ac:dyDescent="0.35">
      <c r="A126" t="s">
        <v>502</v>
      </c>
      <c r="B126">
        <v>961</v>
      </c>
    </row>
    <row r="127" spans="1:2" x14ac:dyDescent="0.35">
      <c r="A127" t="s">
        <v>504</v>
      </c>
      <c r="B127">
        <v>963</v>
      </c>
    </row>
    <row r="128" spans="1:2" x14ac:dyDescent="0.35">
      <c r="A128" t="s">
        <v>506</v>
      </c>
      <c r="B128">
        <v>964</v>
      </c>
    </row>
    <row r="129" spans="1:2" x14ac:dyDescent="0.35">
      <c r="A129" t="s">
        <v>5670</v>
      </c>
      <c r="B129">
        <v>970</v>
      </c>
    </row>
    <row r="130" spans="1:2" x14ac:dyDescent="0.35">
      <c r="A130" t="s">
        <v>508</v>
      </c>
      <c r="B130">
        <v>985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abSelected="1" zoomScaleNormal="100" workbookViewId="0">
      <selection activeCell="C5" sqref="C5"/>
    </sheetView>
  </sheetViews>
  <sheetFormatPr defaultColWidth="8.54296875" defaultRowHeight="14.5" x14ac:dyDescent="0.35"/>
  <cols>
    <col min="1" max="1" width="31.453125" customWidth="1"/>
    <col min="2" max="2" width="29.81640625" customWidth="1"/>
    <col min="3" max="3" width="25.26953125" customWidth="1"/>
    <col min="4" max="4" width="29.54296875" customWidth="1"/>
  </cols>
  <sheetData>
    <row r="1" spans="1:4" x14ac:dyDescent="0.35">
      <c r="A1" s="15" t="s">
        <v>5671</v>
      </c>
      <c r="B1" s="16"/>
    </row>
    <row r="2" spans="1:4" x14ac:dyDescent="0.35">
      <c r="A2" s="7" t="s">
        <v>5672</v>
      </c>
      <c r="B2" s="18">
        <f>MAX(ACT_school_suppressed!$L:$L)</f>
        <v>30.7</v>
      </c>
      <c r="C2" s="18">
        <f>MAX(ACT_school_suppressed!$L:$L)</f>
        <v>30.7</v>
      </c>
    </row>
    <row r="3" spans="1:4" ht="15" thickBot="1" x14ac:dyDescent="0.4">
      <c r="A3" s="8" t="s">
        <v>5673</v>
      </c>
      <c r="B3" s="19" t="str">
        <f>_xlfn.XLOOKUP(B2,ACT_school_suppressed!$L:$L,ACT_school_suppressed!$B:$B,"Not Found",0)</f>
        <v>Central Magnet School</v>
      </c>
      <c r="C3" s="19" t="str">
        <f>_xlfn.XLOOKUP(C2,ACT_school_suppressed!$L:$L,ACT_school_suppressed!$B:$B,"Not Found",0)</f>
        <v>Central Magnet School</v>
      </c>
      <c r="D3" t="s">
        <v>5679</v>
      </c>
    </row>
    <row r="4" spans="1:4" ht="15" thickBot="1" x14ac:dyDescent="0.4">
      <c r="D4" s="29" t="str" cm="1">
        <f t="array" ref="D4:D5">_xlfn._xlws.FILTER(ACT_school_suppressed!B:B,ACT_school_suppressed!L:L=B2)</f>
        <v>Central Magnet School</v>
      </c>
    </row>
    <row r="5" spans="1:4" x14ac:dyDescent="0.35">
      <c r="A5" s="9" t="s">
        <v>5674</v>
      </c>
      <c r="B5" s="20">
        <f>MIN(ACT_school_suppressed!L:L)</f>
        <v>13.6</v>
      </c>
      <c r="D5" s="29" t="str">
        <v>Merrol Hyde Magnet School</v>
      </c>
    </row>
    <row r="6" spans="1:4" ht="15" thickBot="1" x14ac:dyDescent="0.4">
      <c r="A6" s="8" t="s">
        <v>5673</v>
      </c>
      <c r="B6" s="19" t="str">
        <f>_xlfn.XLOOKUP(B5,ACT_school_suppressed!L:L,ACT_school_suppressed!B:B,"Not Found",0)</f>
        <v>Tennessee High School For Deaf</v>
      </c>
    </row>
    <row r="7" spans="1:4" ht="15" thickBot="1" x14ac:dyDescent="0.4"/>
    <row r="8" spans="1:4" x14ac:dyDescent="0.35">
      <c r="A8" s="15" t="s">
        <v>5675</v>
      </c>
      <c r="B8" s="17"/>
      <c r="C8" s="17"/>
      <c r="D8" s="16"/>
    </row>
    <row r="9" spans="1:4" x14ac:dyDescent="0.35">
      <c r="A9" s="10" t="s">
        <v>2</v>
      </c>
      <c r="B9" s="6" t="s">
        <v>5676</v>
      </c>
      <c r="C9" s="6" t="s">
        <v>5677</v>
      </c>
      <c r="D9" s="11" t="s">
        <v>5678</v>
      </c>
    </row>
    <row r="10" spans="1:4" x14ac:dyDescent="0.35">
      <c r="A10" s="7" t="s">
        <v>1270</v>
      </c>
      <c r="B10" s="5">
        <f>SUMIF(ACT_school_suppressed!$C$1:$C$368,answers!A10,ACT_school_suppressed!$F$1:$F$368)</f>
        <v>3327</v>
      </c>
      <c r="C10" s="5">
        <f>SUMIF(ACT_school_suppressed!$C$1:$C$368,answers!A10,ACT_school_suppressed!$M$1:$M$368)</f>
        <v>769</v>
      </c>
      <c r="D10" s="12">
        <f>_xlfn.PERCENTOF(C10,B10)</f>
        <v>0.23113916441238352</v>
      </c>
    </row>
    <row r="11" spans="1:4" x14ac:dyDescent="0.35">
      <c r="A11" s="7" t="s">
        <v>4140</v>
      </c>
      <c r="B11" s="5">
        <f>SUMIF(ACT_school_suppressed!$C$1:$C$368,answers!A11,ACT_school_suppressed!$F$1:$F$368)</f>
        <v>5391</v>
      </c>
      <c r="C11" s="5">
        <f>SUMIF(ACT_school_suppressed!$C$1:$C$368,answers!A11,ACT_school_suppressed!$M$1:$M$368)</f>
        <v>991</v>
      </c>
      <c r="D11" s="12">
        <f>_xlfn.PERCENTOF(C11,B11)</f>
        <v>0.18382489334075311</v>
      </c>
    </row>
    <row r="12" spans="1:4" x14ac:dyDescent="0.35">
      <c r="A12" s="7" t="s">
        <v>2708</v>
      </c>
      <c r="B12" s="5">
        <f>SUMIF(ACT_school_suppressed!$C$1:$C$368,answers!A12,ACT_school_suppressed!$F$1:$F$368)</f>
        <v>3242</v>
      </c>
      <c r="C12" s="5">
        <f>SUMIF(ACT_school_suppressed!$C$1:$C$368,answers!A12,ACT_school_suppressed!$M$1:$M$368)</f>
        <v>1769</v>
      </c>
      <c r="D12" s="12">
        <f>_xlfn.PERCENTOF(C12,B12)</f>
        <v>0.54565083281924742</v>
      </c>
    </row>
    <row r="13" spans="1:4" ht="15" thickBot="1" x14ac:dyDescent="0.4">
      <c r="A13" s="8" t="s">
        <v>2171</v>
      </c>
      <c r="B13" s="13">
        <f>SUMIF(ACT_school_suppressed!$C$1:$C$368,answers!A13,ACT_school_suppressed!$F$1:$F$368)</f>
        <v>1071</v>
      </c>
      <c r="C13" s="13">
        <f>SUMIF(ACT_school_suppressed!$C$1:$C$368,answers!A13,ACT_school_suppressed!$M$1:$M$368)</f>
        <v>303</v>
      </c>
      <c r="D13" s="14">
        <f>_xlfn.PERCENTOF(C13,B13)</f>
        <v>0.28291316526610644</v>
      </c>
    </row>
    <row r="14" spans="1:4" x14ac:dyDescent="0.35">
      <c r="D14" s="2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"/>
  <sheetViews>
    <sheetView zoomScaleNormal="100" workbookViewId="0">
      <selection activeCell="B2" sqref="B2"/>
    </sheetView>
  </sheetViews>
  <sheetFormatPr defaultColWidth="8.54296875" defaultRowHeight="14.5" x14ac:dyDescent="0.35"/>
  <cols>
    <col min="1" max="1" width="9.08984375" bestFit="1" customWidth="1"/>
    <col min="2" max="2" width="31.36328125" bestFit="1" customWidth="1"/>
    <col min="3" max="3" width="11.81640625" bestFit="1" customWidth="1"/>
    <col min="4" max="4" width="15" bestFit="1" customWidth="1"/>
    <col min="5" max="5" width="10.6328125" bestFit="1" customWidth="1"/>
    <col min="6" max="6" width="9.81640625" bestFit="1" customWidth="1"/>
    <col min="7" max="7" width="15.90625" bestFit="1" customWidth="1"/>
    <col min="8" max="8" width="19" bestFit="1" customWidth="1"/>
    <col min="9" max="9" width="17.7265625" bestFit="1" customWidth="1"/>
    <col min="10" max="10" width="19.81640625" bestFit="1" customWidth="1"/>
    <col min="11" max="11" width="19.26953125" bestFit="1" customWidth="1"/>
    <col min="12" max="12" width="22.26953125" bestFit="1" customWidth="1"/>
    <col min="13" max="13" width="25" bestFit="1" customWidth="1"/>
    <col min="14" max="14" width="22.36328125" bestFit="1" customWidth="1"/>
    <col min="15" max="15" width="27" bestFit="1" customWidth="1"/>
    <col min="16" max="16" width="17.90625" bestFit="1" customWidth="1"/>
  </cols>
  <sheetData>
    <row r="1" spans="1:16" s="3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5">
      <c r="A2" s="5" t="s">
        <v>94</v>
      </c>
      <c r="B2" s="5" t="s">
        <v>1268</v>
      </c>
      <c r="C2" s="5" t="s">
        <v>1270</v>
      </c>
      <c r="D2" s="5" t="s">
        <v>95</v>
      </c>
      <c r="E2" s="5" t="s">
        <v>18</v>
      </c>
      <c r="F2" s="5">
        <v>18</v>
      </c>
      <c r="G2" s="5">
        <v>95</v>
      </c>
      <c r="H2" s="5">
        <v>22.7</v>
      </c>
      <c r="I2" s="5">
        <v>20.9</v>
      </c>
      <c r="J2" s="5">
        <v>22.4</v>
      </c>
      <c r="K2" s="5">
        <v>22.1</v>
      </c>
      <c r="L2" s="5">
        <v>22.2</v>
      </c>
      <c r="M2" s="5">
        <v>10</v>
      </c>
      <c r="N2" s="5">
        <v>5</v>
      </c>
      <c r="O2" s="5">
        <v>0</v>
      </c>
      <c r="P2" s="5">
        <v>0</v>
      </c>
    </row>
    <row r="3" spans="1:16" x14ac:dyDescent="0.35">
      <c r="A3" s="5" t="s">
        <v>96</v>
      </c>
      <c r="B3" s="5" t="s">
        <v>1283</v>
      </c>
      <c r="C3" s="5" t="s">
        <v>1267</v>
      </c>
      <c r="D3" s="5" t="s">
        <v>95</v>
      </c>
      <c r="E3" s="5" t="s">
        <v>18</v>
      </c>
      <c r="F3" s="5">
        <v>435</v>
      </c>
      <c r="G3" s="5">
        <v>96</v>
      </c>
      <c r="H3" s="5">
        <v>16.5</v>
      </c>
      <c r="I3" s="5">
        <v>17.600000000000001</v>
      </c>
      <c r="J3" s="5">
        <v>18.100000000000001</v>
      </c>
      <c r="K3" s="5">
        <v>18</v>
      </c>
      <c r="L3" s="5">
        <v>17.7</v>
      </c>
      <c r="M3" s="5">
        <v>94</v>
      </c>
      <c r="N3" s="5">
        <v>276</v>
      </c>
      <c r="O3" s="5">
        <v>0</v>
      </c>
      <c r="P3" s="5">
        <v>0</v>
      </c>
    </row>
    <row r="4" spans="1:16" x14ac:dyDescent="0.35">
      <c r="A4" s="5" t="s">
        <v>97</v>
      </c>
      <c r="B4" s="5" t="s">
        <v>1300</v>
      </c>
      <c r="C4" s="5" t="s">
        <v>1270</v>
      </c>
      <c r="D4" s="5" t="s">
        <v>95</v>
      </c>
      <c r="E4" s="5" t="s">
        <v>18</v>
      </c>
      <c r="F4" s="5">
        <v>25</v>
      </c>
      <c r="G4" s="5">
        <v>100</v>
      </c>
      <c r="H4" s="5">
        <v>20.100000000000001</v>
      </c>
      <c r="I4" s="5">
        <v>17.3</v>
      </c>
      <c r="J4" s="5">
        <v>20.399999999999999</v>
      </c>
      <c r="K4" s="5">
        <v>20</v>
      </c>
      <c r="L4" s="5">
        <v>19.600000000000001</v>
      </c>
      <c r="M4" s="5">
        <v>7</v>
      </c>
      <c r="N4" s="5">
        <v>12</v>
      </c>
      <c r="O4" s="5">
        <v>0</v>
      </c>
      <c r="P4" s="5">
        <v>0</v>
      </c>
    </row>
    <row r="5" spans="1:16" x14ac:dyDescent="0.35">
      <c r="A5" s="5" t="s">
        <v>98</v>
      </c>
      <c r="B5" s="5" t="s">
        <v>1305</v>
      </c>
      <c r="C5" s="5" t="s">
        <v>1267</v>
      </c>
      <c r="D5" s="5" t="s">
        <v>95</v>
      </c>
      <c r="E5" s="5" t="s">
        <v>18</v>
      </c>
      <c r="F5" s="5">
        <v>391</v>
      </c>
      <c r="G5" s="5">
        <v>96</v>
      </c>
      <c r="H5" s="5">
        <v>16.3</v>
      </c>
      <c r="I5" s="5">
        <v>17.3</v>
      </c>
      <c r="J5" s="5">
        <v>17.600000000000001</v>
      </c>
      <c r="K5" s="5">
        <v>17.7</v>
      </c>
      <c r="L5" s="5">
        <v>17.399999999999999</v>
      </c>
      <c r="M5" s="5">
        <v>79</v>
      </c>
      <c r="N5" s="5">
        <v>266</v>
      </c>
      <c r="O5" s="5">
        <v>0</v>
      </c>
      <c r="P5" s="5">
        <v>0</v>
      </c>
    </row>
    <row r="6" spans="1:16" x14ac:dyDescent="0.35">
      <c r="A6" s="5" t="s">
        <v>99</v>
      </c>
      <c r="B6" s="5" t="s">
        <v>1358</v>
      </c>
      <c r="C6" s="5" t="s">
        <v>1270</v>
      </c>
      <c r="D6" s="5" t="s">
        <v>95</v>
      </c>
      <c r="E6" s="5" t="s">
        <v>18</v>
      </c>
      <c r="F6" s="5">
        <v>159</v>
      </c>
      <c r="G6" s="5">
        <v>99</v>
      </c>
      <c r="H6" s="5">
        <v>17.5</v>
      </c>
      <c r="I6" s="5">
        <v>17.8</v>
      </c>
      <c r="J6" s="5">
        <v>18.8</v>
      </c>
      <c r="K6" s="5">
        <v>18.399999999999999</v>
      </c>
      <c r="L6" s="5">
        <v>18.3</v>
      </c>
      <c r="M6" s="5">
        <v>33</v>
      </c>
      <c r="N6" s="5">
        <v>93</v>
      </c>
      <c r="O6" s="5">
        <v>0</v>
      </c>
      <c r="P6" s="5">
        <v>0</v>
      </c>
    </row>
    <row r="7" spans="1:16" x14ac:dyDescent="0.35">
      <c r="A7" s="5" t="s">
        <v>100</v>
      </c>
      <c r="B7" s="5" t="s">
        <v>1372</v>
      </c>
      <c r="C7" s="5" t="s">
        <v>1270</v>
      </c>
      <c r="D7" s="5" t="s">
        <v>95</v>
      </c>
      <c r="E7" s="5" t="s">
        <v>18</v>
      </c>
      <c r="F7" s="5">
        <v>262</v>
      </c>
      <c r="G7" s="5">
        <v>97</v>
      </c>
      <c r="H7" s="5">
        <v>15.5</v>
      </c>
      <c r="I7" s="5">
        <v>16.8</v>
      </c>
      <c r="J7" s="5">
        <v>17.3</v>
      </c>
      <c r="K7" s="5">
        <v>17.3</v>
      </c>
      <c r="L7" s="5">
        <v>16.8</v>
      </c>
      <c r="M7" s="5">
        <v>45</v>
      </c>
      <c r="N7" s="5">
        <v>179</v>
      </c>
      <c r="O7" s="5">
        <v>0</v>
      </c>
      <c r="P7" s="5">
        <v>0</v>
      </c>
    </row>
    <row r="8" spans="1:16" x14ac:dyDescent="0.35">
      <c r="A8" s="5" t="s">
        <v>101</v>
      </c>
      <c r="B8" s="5" t="s">
        <v>1412</v>
      </c>
      <c r="C8" s="5" t="s">
        <v>1270</v>
      </c>
      <c r="D8" s="5" t="s">
        <v>95</v>
      </c>
      <c r="E8" s="5" t="s">
        <v>18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</row>
    <row r="9" spans="1:16" x14ac:dyDescent="0.35">
      <c r="A9" s="5" t="s">
        <v>102</v>
      </c>
      <c r="B9" s="5" t="s">
        <v>1435</v>
      </c>
      <c r="C9" s="5" t="s">
        <v>1270</v>
      </c>
      <c r="D9" s="5" t="s">
        <v>95</v>
      </c>
      <c r="E9" s="5" t="s">
        <v>18</v>
      </c>
      <c r="F9" s="5">
        <v>233</v>
      </c>
      <c r="G9" s="5">
        <v>97</v>
      </c>
      <c r="H9" s="5">
        <v>20.6</v>
      </c>
      <c r="I9" s="5">
        <v>19.2</v>
      </c>
      <c r="J9" s="5">
        <v>21.9</v>
      </c>
      <c r="K9" s="5">
        <v>20.5</v>
      </c>
      <c r="L9" s="5">
        <v>20.7</v>
      </c>
      <c r="M9" s="5">
        <v>99</v>
      </c>
      <c r="N9" s="5">
        <v>89</v>
      </c>
      <c r="O9" s="5">
        <v>0</v>
      </c>
      <c r="P9" s="5">
        <v>0</v>
      </c>
    </row>
    <row r="10" spans="1:16" x14ac:dyDescent="0.35">
      <c r="A10" s="5" t="s">
        <v>103</v>
      </c>
      <c r="B10" s="5" t="s">
        <v>1437</v>
      </c>
      <c r="C10" s="5" t="s">
        <v>1270</v>
      </c>
      <c r="D10" s="5" t="s">
        <v>95</v>
      </c>
      <c r="E10" s="5" t="s">
        <v>18</v>
      </c>
      <c r="F10" s="5">
        <v>216</v>
      </c>
      <c r="G10" s="5">
        <v>100</v>
      </c>
      <c r="H10" s="5">
        <v>19.100000000000001</v>
      </c>
      <c r="I10" s="5">
        <v>19</v>
      </c>
      <c r="J10" s="5">
        <v>20.3</v>
      </c>
      <c r="K10" s="5">
        <v>19.7</v>
      </c>
      <c r="L10" s="5">
        <v>19.7</v>
      </c>
      <c r="M10" s="5">
        <v>88</v>
      </c>
      <c r="N10" s="5">
        <v>93</v>
      </c>
      <c r="O10" s="5">
        <v>0</v>
      </c>
      <c r="P10" s="5">
        <v>0</v>
      </c>
    </row>
    <row r="11" spans="1:16" x14ac:dyDescent="0.35">
      <c r="A11" s="5" t="s">
        <v>104</v>
      </c>
      <c r="B11" s="5" t="s">
        <v>1442</v>
      </c>
      <c r="C11" s="5" t="s">
        <v>1270</v>
      </c>
      <c r="D11" s="5" t="s">
        <v>95</v>
      </c>
      <c r="E11" s="5" t="s">
        <v>18</v>
      </c>
      <c r="F11" s="5">
        <v>212</v>
      </c>
      <c r="G11" s="5">
        <v>100</v>
      </c>
      <c r="H11" s="5">
        <v>28.9</v>
      </c>
      <c r="I11" s="5">
        <v>26.6</v>
      </c>
      <c r="J11" s="5">
        <v>29.6</v>
      </c>
      <c r="K11" s="5">
        <v>27.9</v>
      </c>
      <c r="L11" s="5">
        <v>28.5</v>
      </c>
      <c r="M11" s="5" t="s">
        <v>41</v>
      </c>
      <c r="N11" s="5" t="s">
        <v>41</v>
      </c>
      <c r="O11" s="5">
        <v>0</v>
      </c>
      <c r="P11" s="5">
        <v>0</v>
      </c>
    </row>
    <row r="12" spans="1:16" x14ac:dyDescent="0.35">
      <c r="A12" s="5" t="s">
        <v>105</v>
      </c>
      <c r="B12" s="5" t="s">
        <v>1444</v>
      </c>
      <c r="C12" s="5" t="s">
        <v>1270</v>
      </c>
      <c r="D12" s="5" t="s">
        <v>95</v>
      </c>
      <c r="E12" s="5" t="s">
        <v>18</v>
      </c>
      <c r="F12" s="5">
        <v>325</v>
      </c>
      <c r="G12" s="5">
        <v>86</v>
      </c>
      <c r="H12" s="5">
        <v>15.1</v>
      </c>
      <c r="I12" s="5">
        <v>16.3</v>
      </c>
      <c r="J12" s="5">
        <v>16.600000000000001</v>
      </c>
      <c r="K12" s="5">
        <v>16.3</v>
      </c>
      <c r="L12" s="5">
        <v>16.2</v>
      </c>
      <c r="M12" s="5">
        <v>43</v>
      </c>
      <c r="N12" s="5">
        <v>250</v>
      </c>
      <c r="O12" s="5">
        <v>0</v>
      </c>
      <c r="P12" s="5">
        <v>0</v>
      </c>
    </row>
    <row r="13" spans="1:16" x14ac:dyDescent="0.35">
      <c r="A13" s="5" t="s">
        <v>106</v>
      </c>
      <c r="B13" s="5" t="s">
        <v>1477</v>
      </c>
      <c r="C13" s="5" t="s">
        <v>1270</v>
      </c>
      <c r="D13" s="5" t="s">
        <v>95</v>
      </c>
      <c r="E13" s="5" t="s">
        <v>18</v>
      </c>
      <c r="F13" s="5">
        <v>431</v>
      </c>
      <c r="G13" s="5">
        <v>96</v>
      </c>
      <c r="H13" s="5">
        <v>17.399999999999999</v>
      </c>
      <c r="I13" s="5">
        <v>17.899999999999999</v>
      </c>
      <c r="J13" s="5">
        <v>18.7</v>
      </c>
      <c r="K13" s="5">
        <v>18.5</v>
      </c>
      <c r="L13" s="5">
        <v>18.3</v>
      </c>
      <c r="M13" s="5">
        <v>120</v>
      </c>
      <c r="N13" s="5">
        <v>255</v>
      </c>
      <c r="O13" s="5">
        <v>0</v>
      </c>
      <c r="P13" s="5">
        <v>0</v>
      </c>
    </row>
    <row r="14" spans="1:16" x14ac:dyDescent="0.35">
      <c r="A14" s="5" t="s">
        <v>107</v>
      </c>
      <c r="B14" s="5" t="s">
        <v>1491</v>
      </c>
      <c r="C14" s="5" t="s">
        <v>1270</v>
      </c>
      <c r="D14" s="5" t="s">
        <v>95</v>
      </c>
      <c r="E14" s="5" t="s">
        <v>18</v>
      </c>
      <c r="F14" s="5">
        <v>34</v>
      </c>
      <c r="G14" s="5">
        <v>92</v>
      </c>
      <c r="H14" s="5">
        <v>21.7</v>
      </c>
      <c r="I14" s="5">
        <v>20.2</v>
      </c>
      <c r="J14" s="5">
        <v>23</v>
      </c>
      <c r="K14" s="5">
        <v>21.5</v>
      </c>
      <c r="L14" s="5">
        <v>21.8</v>
      </c>
      <c r="M14" s="5">
        <v>18</v>
      </c>
      <c r="N14" s="5">
        <v>9</v>
      </c>
      <c r="O14" s="5">
        <v>0</v>
      </c>
      <c r="P14" s="5">
        <v>0</v>
      </c>
    </row>
    <row r="15" spans="1:16" x14ac:dyDescent="0.35">
      <c r="A15" s="5" t="s">
        <v>108</v>
      </c>
      <c r="B15" s="5" t="s">
        <v>1493</v>
      </c>
      <c r="C15" s="5" t="s">
        <v>1270</v>
      </c>
      <c r="D15" s="5" t="s">
        <v>95</v>
      </c>
      <c r="E15" s="5" t="s">
        <v>18</v>
      </c>
      <c r="F15" s="5">
        <v>6</v>
      </c>
      <c r="G15" s="5" t="s">
        <v>44</v>
      </c>
      <c r="H15" s="5" t="s">
        <v>44</v>
      </c>
      <c r="I15" s="5" t="s">
        <v>44</v>
      </c>
      <c r="J15" s="5" t="s">
        <v>44</v>
      </c>
      <c r="K15" s="5" t="s">
        <v>44</v>
      </c>
      <c r="L15" s="5" t="s">
        <v>44</v>
      </c>
      <c r="M15" s="5" t="s">
        <v>44</v>
      </c>
      <c r="N15" s="5" t="s">
        <v>44</v>
      </c>
      <c r="O15" s="5">
        <v>0</v>
      </c>
      <c r="P15" s="5">
        <v>0</v>
      </c>
    </row>
    <row r="16" spans="1:16" x14ac:dyDescent="0.35">
      <c r="A16" s="5" t="s">
        <v>109</v>
      </c>
      <c r="B16" s="5" t="s">
        <v>1495</v>
      </c>
      <c r="C16" s="5" t="s">
        <v>1270</v>
      </c>
      <c r="D16" s="5" t="s">
        <v>95</v>
      </c>
      <c r="E16" s="5" t="s">
        <v>18</v>
      </c>
      <c r="F16" s="5">
        <v>178</v>
      </c>
      <c r="G16" s="5">
        <v>98</v>
      </c>
      <c r="H16" s="5">
        <v>14.3</v>
      </c>
      <c r="I16" s="5">
        <v>16</v>
      </c>
      <c r="J16" s="5">
        <v>15.5</v>
      </c>
      <c r="K16" s="5">
        <v>15.9</v>
      </c>
      <c r="L16" s="5">
        <v>15.6</v>
      </c>
      <c r="M16" s="5">
        <v>15</v>
      </c>
      <c r="N16" s="5">
        <v>151</v>
      </c>
      <c r="O16" s="5">
        <v>0</v>
      </c>
      <c r="P16" s="5">
        <v>0</v>
      </c>
    </row>
    <row r="17" spans="1:16" x14ac:dyDescent="0.35">
      <c r="A17" s="5" t="s">
        <v>110</v>
      </c>
      <c r="B17" s="5" t="s">
        <v>1500</v>
      </c>
      <c r="C17" s="5" t="s">
        <v>1270</v>
      </c>
      <c r="D17" s="5" t="s">
        <v>95</v>
      </c>
      <c r="E17" s="5" t="s">
        <v>18</v>
      </c>
      <c r="F17" s="5">
        <v>240</v>
      </c>
      <c r="G17" s="5">
        <v>100</v>
      </c>
      <c r="H17" s="5">
        <v>27.6</v>
      </c>
      <c r="I17" s="5">
        <v>26.8</v>
      </c>
      <c r="J17" s="5">
        <v>28.1</v>
      </c>
      <c r="K17" s="5">
        <v>26.6</v>
      </c>
      <c r="L17" s="5">
        <v>27.4</v>
      </c>
      <c r="M17" s="5" t="s">
        <v>41</v>
      </c>
      <c r="N17" s="5" t="s">
        <v>41</v>
      </c>
      <c r="O17" s="5">
        <v>0</v>
      </c>
      <c r="P17" s="5">
        <v>0</v>
      </c>
    </row>
    <row r="18" spans="1:16" x14ac:dyDescent="0.35">
      <c r="A18" s="5" t="s">
        <v>111</v>
      </c>
      <c r="B18" s="5" t="s">
        <v>1505</v>
      </c>
      <c r="C18" s="5" t="s">
        <v>1270</v>
      </c>
      <c r="D18" s="5" t="s">
        <v>95</v>
      </c>
      <c r="E18" s="5" t="s">
        <v>18</v>
      </c>
      <c r="F18" s="5">
        <v>370</v>
      </c>
      <c r="G18" s="5">
        <v>89</v>
      </c>
      <c r="H18" s="5">
        <v>18.7</v>
      </c>
      <c r="I18" s="5">
        <v>18.100000000000001</v>
      </c>
      <c r="J18" s="5">
        <v>20.399999999999999</v>
      </c>
      <c r="K18" s="5">
        <v>19.5</v>
      </c>
      <c r="L18" s="5">
        <v>19.3</v>
      </c>
      <c r="M18" s="5">
        <v>133</v>
      </c>
      <c r="N18" s="5">
        <v>183</v>
      </c>
      <c r="O18" s="5">
        <v>0</v>
      </c>
      <c r="P18" s="5">
        <v>0</v>
      </c>
    </row>
    <row r="19" spans="1:16" x14ac:dyDescent="0.35">
      <c r="A19" s="5" t="s">
        <v>112</v>
      </c>
      <c r="B19" s="5" t="s">
        <v>1522</v>
      </c>
      <c r="C19" s="5" t="s">
        <v>1270</v>
      </c>
      <c r="D19" s="5" t="s">
        <v>95</v>
      </c>
      <c r="E19" s="5" t="s">
        <v>18</v>
      </c>
      <c r="F19" s="5">
        <v>120</v>
      </c>
      <c r="G19" s="5">
        <v>96</v>
      </c>
      <c r="H19" s="5">
        <v>22.1</v>
      </c>
      <c r="I19" s="5">
        <v>18.899999999999999</v>
      </c>
      <c r="J19" s="5">
        <v>22.4</v>
      </c>
      <c r="K19" s="5">
        <v>20.7</v>
      </c>
      <c r="L19" s="5">
        <v>21.1</v>
      </c>
      <c r="M19" s="5">
        <v>59</v>
      </c>
      <c r="N19" s="5">
        <v>33</v>
      </c>
      <c r="O19" s="5">
        <v>0</v>
      </c>
      <c r="P19" s="5">
        <v>0</v>
      </c>
    </row>
    <row r="20" spans="1:16" x14ac:dyDescent="0.35">
      <c r="A20" s="5" t="s">
        <v>113</v>
      </c>
      <c r="B20" s="5" t="s">
        <v>1542</v>
      </c>
      <c r="C20" s="5" t="s">
        <v>1270</v>
      </c>
      <c r="D20" s="5" t="s">
        <v>95</v>
      </c>
      <c r="E20" s="5" t="s">
        <v>18</v>
      </c>
      <c r="F20" s="5">
        <v>140</v>
      </c>
      <c r="G20" s="5">
        <v>99</v>
      </c>
      <c r="H20" s="5">
        <v>14.3</v>
      </c>
      <c r="I20" s="5">
        <v>15.9</v>
      </c>
      <c r="J20" s="5">
        <v>15.6</v>
      </c>
      <c r="K20" s="5">
        <v>16.100000000000001</v>
      </c>
      <c r="L20" s="5">
        <v>15.6</v>
      </c>
      <c r="M20" s="5">
        <v>10</v>
      </c>
      <c r="N20" s="5">
        <v>121</v>
      </c>
      <c r="O20" s="5">
        <v>0</v>
      </c>
      <c r="P20" s="5">
        <v>0</v>
      </c>
    </row>
    <row r="21" spans="1:16" x14ac:dyDescent="0.35">
      <c r="A21" s="5" t="s">
        <v>114</v>
      </c>
      <c r="B21" s="5" t="s">
        <v>1565</v>
      </c>
      <c r="C21" s="5" t="s">
        <v>1270</v>
      </c>
      <c r="D21" s="5" t="s">
        <v>95</v>
      </c>
      <c r="E21" s="5" t="s">
        <v>18</v>
      </c>
      <c r="F21" s="5">
        <v>45</v>
      </c>
      <c r="G21" s="5">
        <v>88</v>
      </c>
      <c r="H21" s="5">
        <v>16.5</v>
      </c>
      <c r="I21" s="5">
        <v>17.2</v>
      </c>
      <c r="J21" s="5">
        <v>17.3</v>
      </c>
      <c r="K21" s="5">
        <v>17.5</v>
      </c>
      <c r="L21" s="5">
        <v>17.2</v>
      </c>
      <c r="M21" s="5">
        <v>9</v>
      </c>
      <c r="N21" s="5">
        <v>32</v>
      </c>
      <c r="O21" s="5">
        <v>0</v>
      </c>
      <c r="P21" s="5">
        <v>0</v>
      </c>
    </row>
    <row r="22" spans="1:16" x14ac:dyDescent="0.35">
      <c r="A22" s="5" t="s">
        <v>115</v>
      </c>
      <c r="B22" s="5" t="s">
        <v>1567</v>
      </c>
      <c r="C22" s="5" t="s">
        <v>1270</v>
      </c>
      <c r="D22" s="5" t="s">
        <v>95</v>
      </c>
      <c r="E22" s="5" t="s">
        <v>18</v>
      </c>
      <c r="F22" s="5">
        <v>56</v>
      </c>
      <c r="G22" s="5">
        <v>79</v>
      </c>
      <c r="H22" s="5">
        <v>16.600000000000001</v>
      </c>
      <c r="I22" s="5">
        <v>17.2</v>
      </c>
      <c r="J22" s="5">
        <v>18.3</v>
      </c>
      <c r="K22" s="5">
        <v>17.600000000000001</v>
      </c>
      <c r="L22" s="5">
        <v>17.399999999999999</v>
      </c>
      <c r="M22" s="5">
        <v>15</v>
      </c>
      <c r="N22" s="5">
        <v>36</v>
      </c>
      <c r="O22" s="5">
        <v>0</v>
      </c>
      <c r="P22" s="5">
        <v>0</v>
      </c>
    </row>
    <row r="23" spans="1:16" x14ac:dyDescent="0.35">
      <c r="A23" s="5" t="s">
        <v>116</v>
      </c>
      <c r="B23" s="5" t="s">
        <v>1575</v>
      </c>
      <c r="C23" s="5" t="s">
        <v>1270</v>
      </c>
      <c r="D23" s="5" t="s">
        <v>95</v>
      </c>
      <c r="E23" s="5" t="s">
        <v>18</v>
      </c>
      <c r="F23" s="5">
        <v>152</v>
      </c>
      <c r="G23" s="5">
        <v>91</v>
      </c>
      <c r="H23" s="5">
        <v>15.1</v>
      </c>
      <c r="I23" s="5">
        <v>16.2</v>
      </c>
      <c r="J23" s="5">
        <v>16.600000000000001</v>
      </c>
      <c r="K23" s="5">
        <v>16.8</v>
      </c>
      <c r="L23" s="5">
        <v>16.2</v>
      </c>
      <c r="M23" s="5">
        <v>16</v>
      </c>
      <c r="N23" s="5">
        <v>112</v>
      </c>
      <c r="O23" s="5">
        <v>0</v>
      </c>
      <c r="P23" s="5">
        <v>0</v>
      </c>
    </row>
    <row r="24" spans="1:16" x14ac:dyDescent="0.35">
      <c r="A24" s="5" t="s">
        <v>117</v>
      </c>
      <c r="B24" s="5" t="s">
        <v>1619</v>
      </c>
      <c r="C24" s="5" t="s">
        <v>1274</v>
      </c>
      <c r="D24" s="5" t="s">
        <v>95</v>
      </c>
      <c r="E24" s="5" t="s">
        <v>18</v>
      </c>
      <c r="F24" s="5">
        <v>139</v>
      </c>
      <c r="G24" s="5">
        <v>97</v>
      </c>
      <c r="H24" s="5">
        <v>14.7</v>
      </c>
      <c r="I24" s="5">
        <v>16.100000000000001</v>
      </c>
      <c r="J24" s="5">
        <v>16.100000000000001</v>
      </c>
      <c r="K24" s="5">
        <v>16.600000000000001</v>
      </c>
      <c r="L24" s="5">
        <v>16</v>
      </c>
      <c r="M24" s="5">
        <v>13</v>
      </c>
      <c r="N24" s="5">
        <v>109</v>
      </c>
      <c r="O24" s="5">
        <v>0</v>
      </c>
      <c r="P24" s="5">
        <v>0</v>
      </c>
    </row>
    <row r="25" spans="1:16" x14ac:dyDescent="0.35">
      <c r="A25" s="5" t="s">
        <v>118</v>
      </c>
      <c r="B25" s="5" t="s">
        <v>1624</v>
      </c>
      <c r="C25" s="5" t="s">
        <v>1267</v>
      </c>
      <c r="D25" s="5" t="s">
        <v>95</v>
      </c>
      <c r="E25" s="5" t="s">
        <v>18</v>
      </c>
      <c r="F25" s="5">
        <v>77</v>
      </c>
      <c r="G25" s="5">
        <v>85</v>
      </c>
      <c r="H25" s="5">
        <v>14.2</v>
      </c>
      <c r="I25" s="5">
        <v>15.9</v>
      </c>
      <c r="J25" s="5">
        <v>15.4</v>
      </c>
      <c r="K25" s="5">
        <v>15.3</v>
      </c>
      <c r="L25" s="5">
        <v>15.4</v>
      </c>
      <c r="M25" s="5">
        <v>7</v>
      </c>
      <c r="N25" s="5">
        <v>64</v>
      </c>
      <c r="O25" s="5">
        <v>0</v>
      </c>
      <c r="P25" s="5">
        <v>0</v>
      </c>
    </row>
    <row r="26" spans="1:16" x14ac:dyDescent="0.35">
      <c r="A26" s="5" t="s">
        <v>119</v>
      </c>
      <c r="B26" s="5" t="s">
        <v>1626</v>
      </c>
      <c r="C26" s="5" t="s">
        <v>1270</v>
      </c>
      <c r="D26" s="5" t="s">
        <v>95</v>
      </c>
      <c r="E26" s="5" t="s">
        <v>18</v>
      </c>
      <c r="F26" s="5">
        <v>1</v>
      </c>
      <c r="G26" s="5" t="s">
        <v>44</v>
      </c>
      <c r="H26" s="5" t="s">
        <v>44</v>
      </c>
      <c r="I26" s="5" t="s">
        <v>44</v>
      </c>
      <c r="J26" s="5" t="s">
        <v>44</v>
      </c>
      <c r="K26" s="5" t="s">
        <v>44</v>
      </c>
      <c r="L26" s="5" t="s">
        <v>44</v>
      </c>
      <c r="M26" s="5" t="s">
        <v>44</v>
      </c>
      <c r="N26" s="5" t="s">
        <v>44</v>
      </c>
      <c r="O26" s="5">
        <v>0</v>
      </c>
      <c r="P26" s="5">
        <v>0</v>
      </c>
    </row>
    <row r="27" spans="1:16" x14ac:dyDescent="0.35">
      <c r="A27" s="5" t="s">
        <v>120</v>
      </c>
      <c r="B27" s="5" t="s">
        <v>1645</v>
      </c>
      <c r="C27" s="5" t="s">
        <v>1270</v>
      </c>
      <c r="D27" s="5" t="s">
        <v>95</v>
      </c>
      <c r="E27" s="5" t="s">
        <v>18</v>
      </c>
      <c r="F27" s="5">
        <v>47</v>
      </c>
      <c r="G27" s="5">
        <v>100</v>
      </c>
      <c r="H27" s="5">
        <v>18.3</v>
      </c>
      <c r="I27" s="5">
        <v>17.899999999999999</v>
      </c>
      <c r="J27" s="5">
        <v>18.600000000000001</v>
      </c>
      <c r="K27" s="5">
        <v>19.7</v>
      </c>
      <c r="L27" s="5">
        <v>18.7</v>
      </c>
      <c r="M27" s="5">
        <v>14</v>
      </c>
      <c r="N27" s="5">
        <v>25</v>
      </c>
      <c r="O27" s="5">
        <v>0</v>
      </c>
      <c r="P27" s="5">
        <v>0</v>
      </c>
    </row>
    <row r="28" spans="1:16" x14ac:dyDescent="0.35">
      <c r="A28" s="5" t="s">
        <v>121</v>
      </c>
      <c r="B28" s="5" t="s">
        <v>1665</v>
      </c>
      <c r="C28" s="5" t="s">
        <v>1270</v>
      </c>
      <c r="D28" s="5" t="s">
        <v>95</v>
      </c>
      <c r="E28" s="5" t="s">
        <v>18</v>
      </c>
      <c r="F28" s="5">
        <v>55</v>
      </c>
      <c r="G28" s="5">
        <v>100</v>
      </c>
      <c r="H28" s="5">
        <v>22.5</v>
      </c>
      <c r="I28" s="5">
        <v>23.1</v>
      </c>
      <c r="J28" s="5">
        <v>22.3</v>
      </c>
      <c r="K28" s="5">
        <v>20.7</v>
      </c>
      <c r="L28" s="5">
        <v>22.3</v>
      </c>
      <c r="M28" s="5">
        <v>35</v>
      </c>
      <c r="N28" s="5">
        <v>11</v>
      </c>
      <c r="O28" s="5">
        <v>0</v>
      </c>
      <c r="P28" s="5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32A0-D5CC-4D30-BC50-20C791B2A4FD}">
  <dimension ref="A3:D10"/>
  <sheetViews>
    <sheetView workbookViewId="0">
      <selection activeCell="B16" sqref="B16"/>
    </sheetView>
  </sheetViews>
  <sheetFormatPr defaultRowHeight="14.5" x14ac:dyDescent="0.35"/>
  <cols>
    <col min="1" max="1" width="16.453125" bestFit="1" customWidth="1"/>
    <col min="2" max="2" width="21.81640625" bestFit="1" customWidth="1"/>
    <col min="3" max="3" width="2.81640625" customWidth="1"/>
    <col min="4" max="4" width="31.1796875" bestFit="1" customWidth="1"/>
  </cols>
  <sheetData>
    <row r="3" spans="1:4" x14ac:dyDescent="0.35">
      <c r="A3" s="22" t="s">
        <v>5680</v>
      </c>
      <c r="B3" s="5" t="s">
        <v>5682</v>
      </c>
      <c r="D3" s="24" t="s">
        <v>5683</v>
      </c>
    </row>
    <row r="4" spans="1:4" x14ac:dyDescent="0.35">
      <c r="A4" s="23" t="s">
        <v>376</v>
      </c>
      <c r="B4" s="5">
        <v>41</v>
      </c>
    </row>
    <row r="5" spans="1:4" x14ac:dyDescent="0.35">
      <c r="A5" s="23" t="s">
        <v>95</v>
      </c>
      <c r="B5" s="5">
        <v>27</v>
      </c>
    </row>
    <row r="6" spans="1:4" x14ac:dyDescent="0.35">
      <c r="A6" s="23" t="s">
        <v>171</v>
      </c>
      <c r="B6" s="5">
        <v>22</v>
      </c>
    </row>
    <row r="7" spans="1:4" x14ac:dyDescent="0.35">
      <c r="A7" s="23" t="s">
        <v>226</v>
      </c>
      <c r="B7" s="5">
        <v>17</v>
      </c>
    </row>
    <row r="8" spans="1:4" x14ac:dyDescent="0.35">
      <c r="A8" s="23" t="s">
        <v>443</v>
      </c>
      <c r="B8" s="5">
        <v>10</v>
      </c>
    </row>
    <row r="9" spans="1:4" x14ac:dyDescent="0.35">
      <c r="A9" s="23" t="s">
        <v>352</v>
      </c>
      <c r="B9" s="5">
        <v>10</v>
      </c>
    </row>
    <row r="10" spans="1:4" x14ac:dyDescent="0.35">
      <c r="A10" s="23" t="s">
        <v>5681</v>
      </c>
      <c r="B10" s="5">
        <v>127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FCFF-660F-49BD-98B2-A92C7AC0D030}">
  <dimension ref="A3:I7"/>
  <sheetViews>
    <sheetView workbookViewId="0">
      <selection activeCell="B11" sqref="B11"/>
    </sheetView>
  </sheetViews>
  <sheetFormatPr defaultRowHeight="14.5" x14ac:dyDescent="0.35"/>
  <cols>
    <col min="1" max="1" width="17" bestFit="1" customWidth="1"/>
    <col min="2" max="2" width="19.36328125" bestFit="1" customWidth="1"/>
    <col min="3" max="3" width="8.36328125" bestFit="1" customWidth="1"/>
    <col min="4" max="4" width="17.08984375" bestFit="1" customWidth="1"/>
    <col min="5" max="5" width="10.7265625" bestFit="1" customWidth="1"/>
    <col min="6" max="6" width="64.90625" customWidth="1"/>
    <col min="7" max="7" width="7.6328125" customWidth="1"/>
    <col min="8" max="8" width="11.26953125" customWidth="1"/>
    <col min="9" max="9" width="22.54296875" bestFit="1" customWidth="1"/>
    <col min="10" max="35" width="2.81640625" bestFit="1" customWidth="1"/>
    <col min="36" max="128" width="3.81640625" bestFit="1" customWidth="1"/>
    <col min="129" max="129" width="14.453125" bestFit="1" customWidth="1"/>
    <col min="130" max="130" width="10.1796875" bestFit="1" customWidth="1"/>
    <col min="131" max="187" width="2.81640625" bestFit="1" customWidth="1"/>
    <col min="188" max="287" width="3.81640625" bestFit="1" customWidth="1"/>
    <col min="288" max="288" width="13.1796875" bestFit="1" customWidth="1"/>
    <col min="289" max="289" width="18.90625" bestFit="1" customWidth="1"/>
    <col min="290" max="296" width="1.81640625" bestFit="1" customWidth="1"/>
    <col min="297" max="297" width="21.90625" bestFit="1" customWidth="1"/>
    <col min="298" max="298" width="10.7265625" bestFit="1" customWidth="1"/>
  </cols>
  <sheetData>
    <row r="3" spans="1:9" x14ac:dyDescent="0.35">
      <c r="A3" s="21" t="s">
        <v>5680</v>
      </c>
      <c r="B3" s="5" t="s">
        <v>5692</v>
      </c>
    </row>
    <row r="4" spans="1:9" ht="29" x14ac:dyDescent="0.35">
      <c r="A4" s="23" t="s">
        <v>5687</v>
      </c>
      <c r="B4" s="5">
        <v>214.02</v>
      </c>
      <c r="F4" s="27" t="s">
        <v>5693</v>
      </c>
    </row>
    <row r="5" spans="1:9" s="26" customFormat="1" x14ac:dyDescent="0.35">
      <c r="A5" s="23" t="s">
        <v>5685</v>
      </c>
      <c r="B5" s="5">
        <v>151.75</v>
      </c>
      <c r="C5"/>
      <c r="D5"/>
      <c r="E5"/>
      <c r="F5"/>
      <c r="G5"/>
      <c r="H5"/>
      <c r="I5"/>
    </row>
    <row r="6" spans="1:9" x14ac:dyDescent="0.35">
      <c r="A6" s="23" t="s">
        <v>5691</v>
      </c>
      <c r="B6" s="5">
        <v>4.9230769230769234</v>
      </c>
    </row>
    <row r="7" spans="1:9" x14ac:dyDescent="0.35">
      <c r="A7" s="28" t="s">
        <v>5681</v>
      </c>
      <c r="B7" s="5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ACT_school_suppressed</vt:lpstr>
      <vt:lpstr>schools</vt:lpstr>
      <vt:lpstr>districts</vt:lpstr>
      <vt:lpstr>answers</vt:lpstr>
      <vt:lpstr>Davidson County</vt:lpstr>
      <vt:lpstr>5_Pivot Table_No._of_Schools</vt:lpstr>
      <vt:lpstr>6c_Avg.of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Poon</dc:creator>
  <dc:description/>
  <cp:lastModifiedBy>Janvi Mehendale</cp:lastModifiedBy>
  <cp:revision>2</cp:revision>
  <dcterms:created xsi:type="dcterms:W3CDTF">2019-11-01T15:03:10Z</dcterms:created>
  <dcterms:modified xsi:type="dcterms:W3CDTF">2025-10-04T14:09:36Z</dcterms:modified>
  <dc:language>en-US</dc:language>
</cp:coreProperties>
</file>